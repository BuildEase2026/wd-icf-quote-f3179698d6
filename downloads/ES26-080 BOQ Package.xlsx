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drawings/drawing4.xml" ContentType="application/vnd.openxmlformats-officedocument.drawing+xml"/>
  <Override PartName="/xl/worksheets/sheet13.xml" ContentType="application/vnd.openxmlformats-officedocument.spreadsheetml.worksheet+xml"/>
  <Override PartName="/xl/drawings/drawing5.xml" ContentType="application/vnd.openxmlformats-officedocument.drawing+xml"/>
  <Override PartName="/xl/worksheets/sheet14.xml" ContentType="application/vnd.openxmlformats-officedocument.spreadsheetml.worksheet+xml"/>
  <Override PartName="/xl/drawings/drawing6.xml" ContentType="application/vnd.openxmlformats-officedocument.drawing+xml"/>
  <Override PartName="/xl/worksheets/sheet15.xml" ContentType="application/vnd.openxmlformats-officedocument.spreadsheetml.worksheet+xml"/>
  <Override PartName="/xl/drawings/drawing7.xml" ContentType="application/vnd.openxmlformats-officedocument.drawing+xml"/>
  <Override PartName="/xl/worksheets/sheet16.xml" ContentType="application/vnd.openxmlformats-officedocument.spreadsheetml.worksheet+xml"/>
  <Override PartName="/xl/drawings/drawing8.xml" ContentType="application/vnd.openxmlformats-officedocument.drawing+xml"/>
  <Override PartName="/xl/worksheets/sheet17.xml" ContentType="application/vnd.openxmlformats-officedocument.spreadsheetml.worksheet+xml"/>
  <Override PartName="/xl/drawings/drawing9.xml" ContentType="application/vnd.openxmlformats-officedocument.drawing+xml"/>
  <Override PartName="/xl/worksheets/sheet18.xml" ContentType="application/vnd.openxmlformats-officedocument.spreadsheetml.worksheet+xml"/>
  <Override PartName="/xl/drawings/drawing10.xml" ContentType="application/vnd.openxmlformats-officedocument.drawing+xml"/>
  <Override PartName="/xl/worksheets/sheet19.xml" ContentType="application/vnd.openxmlformats-officedocument.spreadsheetml.worksheet+xml"/>
  <Override PartName="/xl/drawings/drawing11.xml" ContentType="application/vnd.openxmlformats-officedocument.drawing+xml"/>
  <Override PartName="/xl/worksheets/sheet20.xml" ContentType="application/vnd.openxmlformats-officedocument.spreadsheetml.worksheet+xml"/>
  <Override PartName="/xl/drawings/drawing12.xml" ContentType="application/vnd.openxmlformats-officedocument.drawing+xml"/>
  <Override PartName="/xl/worksheets/sheet21.xml" ContentType="application/vnd.openxmlformats-officedocument.spreadsheetml.worksheet+xml"/>
  <Override PartName="/xl/drawings/drawing1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tents" sheetId="2" state="visible" r:id="rId2"/>
    <sheet xmlns:r="http://schemas.openxmlformats.org/officeDocument/2006/relationships" name="Programme" sheetId="3" state="visible" r:id="rId3"/>
    <sheet xmlns:r="http://schemas.openxmlformats.org/officeDocument/2006/relationships" name="Summary" sheetId="4" state="visible" r:id="rId4"/>
    <sheet xmlns:r="http://schemas.openxmlformats.org/officeDocument/2006/relationships" name="A_Preliminaries" sheetId="5" state="visible" r:id="rId5"/>
    <sheet xmlns:r="http://schemas.openxmlformats.org/officeDocument/2006/relationships" name="B_ICF_Supply" sheetId="6" state="visible" r:id="rId6"/>
    <sheet xmlns:r="http://schemas.openxmlformats.org/officeDocument/2006/relationships" name="C_Concrete" sheetId="7" state="visible" r:id="rId7"/>
    <sheet xmlns:r="http://schemas.openxmlformats.org/officeDocument/2006/relationships" name="D_Labour" sheetId="8" state="visible" r:id="rId8"/>
    <sheet xmlns:r="http://schemas.openxmlformats.org/officeDocument/2006/relationships" name="F_Reference" sheetId="9" state="visible" r:id="rId9"/>
    <sheet xmlns:r="http://schemas.openxmlformats.org/officeDocument/2006/relationships" name="Finishes Cover" sheetId="10" state="visible" r:id="rId10"/>
    <sheet xmlns:r="http://schemas.openxmlformats.org/officeDocument/2006/relationships" name="General Notes" sheetId="11" state="visible" r:id="rId11"/>
    <sheet xmlns:r="http://schemas.openxmlformats.org/officeDocument/2006/relationships" name="Summary of Bills" sheetId="12" state="visible" r:id="rId12"/>
    <sheet xmlns:r="http://schemas.openxmlformats.org/officeDocument/2006/relationships" name="Bill 1 External Finishes" sheetId="13" state="visible" r:id="rId13"/>
    <sheet xmlns:r="http://schemas.openxmlformats.org/officeDocument/2006/relationships" name="Bill 2 Internal Linings" sheetId="14" state="visible" r:id="rId14"/>
    <sheet xmlns:r="http://schemas.openxmlformats.org/officeDocument/2006/relationships" name="Bill 3 Doors" sheetId="15" state="visible" r:id="rId15"/>
    <sheet xmlns:r="http://schemas.openxmlformats.org/officeDocument/2006/relationships" name="Bill 4 Joinery" sheetId="16" state="visible" r:id="rId16"/>
    <sheet xmlns:r="http://schemas.openxmlformats.org/officeDocument/2006/relationships" name="Bill 5 Partitions" sheetId="17" state="visible" r:id="rId17"/>
    <sheet xmlns:r="http://schemas.openxmlformats.org/officeDocument/2006/relationships" name="Schedule A Floor Areas" sheetId="18" state="visible" r:id="rId18"/>
    <sheet xmlns:r="http://schemas.openxmlformats.org/officeDocument/2006/relationships" name="Schedule B Openings" sheetId="19" state="visible" r:id="rId19"/>
    <sheet xmlns:r="http://schemas.openxmlformats.org/officeDocument/2006/relationships" name="Schedule C Per Plot" sheetId="20" state="visible" r:id="rId20"/>
    <sheet xmlns:r="http://schemas.openxmlformats.org/officeDocument/2006/relationships" name="Schedule D Sloping Plots" sheetId="21" state="visible" r:id="rId21"/>
  </sheets>
  <definedNames>
    <definedName name="FINISHES_NET_TOTAL">'Finishes Cover'!$F$24</definedName>
    <definedName name="FINISHES_GRAND_TOTAL">'Finishes Cover'!$F$30</definedName>
    <definedName name="ICF_PACKAGE_TOTAL">'Finishes Cover'!$F$33</definedName>
    <definedName name="COMBINED_TOTAL">'Finishes Cover'!$F$34</definedName>
    <definedName name="_xlnm.Print_Area" localSheetId="9">'Finishes Cover'!$A$1:$F$69</definedName>
    <definedName name="_xlnm.Print_Titles" localSheetId="11">'Summary of Bills'!$6:$6</definedName>
    <definedName name="_xlnm.Print_Titles" localSheetId="12">'Bill 1 External Finishes'!$6:$7</definedName>
    <definedName name="_xlnm.Print_Area" localSheetId="12">'Bill 1 External Finishes'!$A$1:$N$45</definedName>
    <definedName name="_xlnm.Print_Titles" localSheetId="13">'Bill 2 Internal Linings'!$6:$7</definedName>
    <definedName name="_xlnm.Print_Area" localSheetId="13">'Bill 2 Internal Linings'!$A$1:$N$41</definedName>
    <definedName name="_xlnm.Print_Titles" localSheetId="14">'Bill 3 Doors'!$6:$7</definedName>
    <definedName name="_xlnm.Print_Area" localSheetId="14">'Bill 3 Doors'!$A$1:$N$32</definedName>
    <definedName name="_xlnm.Print_Titles" localSheetId="15">'Bill 4 Joinery'!$6:$7</definedName>
    <definedName name="_xlnm.Print_Area" localSheetId="15">'Bill 4 Joinery'!$A$1:$N$45</definedName>
    <definedName name="_xlnm.Print_Titles" localSheetId="16">'Bill 5 Partitions'!$6:$7</definedName>
    <definedName name="_xlnm.Print_Area" localSheetId="16">'Bill 5 Partitions'!$A$1:$N$48</definedName>
    <definedName name="_xlnm.Print_Titles" localSheetId="17">'Schedule A Floor Areas'!$6:$6</definedName>
    <definedName name="_xlnm.Print_Titles" localSheetId="18">'Schedule B Openings'!$6:$6</definedName>
    <definedName name="_xlnm.Print_Titles" localSheetId="19">'Schedule C Per Plot'!$6:$6</definedName>
    <definedName name="_xlnm.Print_Titles" localSheetId="20">'Schedule D Sloping Plots'!$6:$6</definedName>
  </definedNames>
  <calcPr calcId="124519" fullCalcOnLoad="1"/>
</workbook>
</file>

<file path=xl/styles.xml><?xml version="1.0" encoding="utf-8"?>
<styleSheet xmlns="http://schemas.openxmlformats.org/spreadsheetml/2006/main">
  <numFmts count="3">
    <numFmt numFmtId="164" formatCode="£#,##0.00"/>
    <numFmt numFmtId="165" formatCode="&quot;£&quot;#,##0.00"/>
    <numFmt numFmtId="166" formatCode="0.0%"/>
  </numFmts>
  <fonts count="45">
    <font>
      <name val="Calibri"/>
      <family val="2"/>
      <color theme="1"/>
      <sz val="11"/>
      <scheme val="minor"/>
    </font>
    <font>
      <name val="Calibri"/>
      <b val="1"/>
      <color rgb="001A2744"/>
      <sz val="28"/>
    </font>
    <font>
      <name val="Calibri"/>
      <b val="1"/>
      <color rgb="00FFFFFF"/>
      <sz val="12"/>
    </font>
    <font>
      <name val="Calibri"/>
      <b val="1"/>
      <color rgb="002C3E50"/>
      <sz val="24"/>
    </font>
    <font>
      <name val="Calibri"/>
      <i val="1"/>
      <color rgb="005A6C7D"/>
      <sz val="13"/>
    </font>
    <font>
      <name val="Calibri"/>
      <b val="1"/>
      <color rgb="001A2744"/>
      <sz val="10.5"/>
    </font>
    <font>
      <name val="Calibri"/>
      <color rgb="002C3E50"/>
      <sz val="10.5"/>
    </font>
    <font>
      <name val="Calibri"/>
      <b val="1"/>
      <color rgb="00FFFFFF"/>
      <sz val="11"/>
    </font>
    <font>
      <name val="Calibri"/>
      <color rgb="002C3E50"/>
      <sz val="10"/>
    </font>
    <font>
      <name val="Calibri"/>
      <b val="1"/>
      <color rgb="00FFFFFF"/>
      <sz val="18"/>
    </font>
    <font>
      <name val="Calibri"/>
      <b val="1"/>
      <color rgb="00FFFFFF"/>
      <sz val="10.5"/>
    </font>
    <font>
      <name val="Calibri"/>
      <b val="1"/>
      <color rgb="001A2744"/>
      <sz val="11"/>
    </font>
    <font>
      <name val="Calibri"/>
      <color rgb="002C3E50"/>
      <sz val="11"/>
    </font>
    <font>
      <name val="Calibri"/>
      <b val="1"/>
      <color rgb="00169B7D"/>
      <sz val="11"/>
    </font>
    <font>
      <name val="Calibri"/>
      <i val="1"/>
      <color rgb="005A6C7D"/>
      <sz val="11"/>
    </font>
    <font>
      <name val="Calibri"/>
      <b val="1"/>
      <color rgb="00FFFFFF"/>
      <sz val="13"/>
    </font>
    <font>
      <name val="Calibri"/>
      <i val="1"/>
      <color rgb="005A6C7D"/>
      <sz val="10"/>
    </font>
    <font>
      <name val="Calibri"/>
      <b val="1"/>
      <color rgb="00FFFFFF"/>
      <sz val="9"/>
    </font>
    <font>
      <name val="Calibri"/>
      <b val="1"/>
      <color rgb="001A2744"/>
      <sz val="12"/>
    </font>
    <font>
      <name val="Calibri"/>
      <b val="1"/>
      <color rgb="002C3E50"/>
      <sz val="11"/>
    </font>
    <font>
      <name val="Calibri"/>
      <b val="1"/>
      <color rgb="00FFFFFF"/>
      <sz val="14"/>
    </font>
    <font>
      <b val="1"/>
      <color rgb="000E3B36"/>
      <sz val="14"/>
    </font>
    <font>
      <color rgb="00555555"/>
      <sz val="9"/>
    </font>
    <font>
      <b val="1"/>
      <color rgb="005A3B00"/>
      <sz val="8.5"/>
    </font>
    <font>
      <b val="1"/>
      <color rgb="00FFFFFF"/>
    </font>
    <font>
      <b val="1"/>
      <color rgb="005A3B00"/>
    </font>
    <font>
      <b val="1"/>
      <color rgb="00FFFFFF"/>
      <sz val="9"/>
    </font>
    <font>
      <i val="1"/>
      <color rgb="00444444"/>
      <sz val="8.5"/>
    </font>
    <font>
      <b val="1"/>
      <color rgb="000E3B36"/>
    </font>
    <font>
      <color rgb="00444444"/>
      <sz val="7.5"/>
    </font>
    <font>
      <i val="1"/>
      <color rgb="00444444"/>
      <sz val="9"/>
    </font>
    <font>
      <b val="1"/>
    </font>
    <font>
      <color rgb="00444444"/>
      <sz val="8.5"/>
    </font>
    <font/>
    <font>
      <b val="1"/>
      <color rgb="00FFFFFF"/>
      <sz val="11"/>
    </font>
    <font>
      <i val="1"/>
      <color rgb="00555555"/>
      <sz val="8.5"/>
    </font>
    <font>
      <i val="1"/>
      <sz val="9.5"/>
    </font>
    <font>
      <i val="1"/>
      <color rgb="00888888"/>
      <sz val="8"/>
    </font>
    <font>
      <b val="1"/>
      <sz val="9.5"/>
    </font>
    <font>
      <b val="1"/>
      <color rgb="00444444"/>
      <sz val="8.5"/>
    </font>
    <font>
      <i val="1"/>
      <sz val="9"/>
    </font>
    <font>
      <b val="1"/>
      <color rgb="000E3B36"/>
      <sz val="9"/>
    </font>
    <font>
      <b val="1"/>
      <sz val="11"/>
    </font>
    <font>
      <b val="1"/>
      <color rgb="005A3B00"/>
      <sz val="10"/>
    </font>
    <font>
      <b val="1"/>
      <color rgb="000E3B36"/>
      <sz val="12"/>
    </font>
  </fonts>
  <fills count="18">
    <fill>
      <patternFill/>
    </fill>
    <fill>
      <patternFill patternType="gray125"/>
    </fill>
    <fill>
      <patternFill patternType="solid">
        <fgColor rgb="001BAD8D"/>
        <bgColor rgb="001BAD8D"/>
      </patternFill>
    </fill>
    <fill>
      <patternFill patternType="solid">
        <fgColor rgb="00F8F9FA"/>
        <bgColor rgb="00F8F9FA"/>
      </patternFill>
    </fill>
    <fill>
      <patternFill patternType="solid">
        <fgColor rgb="001A2744"/>
        <bgColor rgb="001A2744"/>
      </patternFill>
    </fill>
    <fill>
      <patternFill patternType="solid">
        <fgColor rgb="00F4F6F7"/>
        <bgColor rgb="00F4F6F7"/>
      </patternFill>
    </fill>
    <fill>
      <patternFill patternType="solid">
        <fgColor rgb="00F59E0B"/>
        <bgColor rgb="00F59E0B"/>
      </patternFill>
    </fill>
    <fill>
      <patternFill patternType="solid">
        <fgColor rgb="00D1D5DB"/>
        <bgColor rgb="00D1D5DB"/>
      </patternFill>
    </fill>
    <fill>
      <patternFill patternType="solid">
        <fgColor rgb="005B7DB1"/>
        <bgColor rgb="005B7DB1"/>
      </patternFill>
    </fill>
    <fill>
      <patternFill patternType="solid">
        <fgColor rgb="008B5CF6"/>
        <bgColor rgb="008B5CF6"/>
      </patternFill>
    </fill>
    <fill>
      <patternFill patternType="solid">
        <fgColor rgb="00D6EAF8"/>
        <bgColor rgb="00D6EAF8"/>
      </patternFill>
    </fill>
    <fill>
      <patternFill patternType="solid">
        <fgColor rgb="00FFF9C4"/>
        <bgColor rgb="00FFF9C4"/>
      </patternFill>
    </fill>
    <fill>
      <patternFill patternType="solid">
        <fgColor rgb="00FFF4DE"/>
      </patternFill>
    </fill>
    <fill>
      <patternFill patternType="solid">
        <fgColor rgb="001F8A7A"/>
      </patternFill>
    </fill>
    <fill>
      <patternFill patternType="solid">
        <fgColor rgb="000E3B36"/>
      </patternFill>
    </fill>
    <fill>
      <patternFill patternType="solid">
        <fgColor rgb="00E3F2EF"/>
      </patternFill>
    </fill>
    <fill>
      <patternFill patternType="solid">
        <fgColor rgb="00FFF2B3"/>
      </patternFill>
    </fill>
    <fill>
      <patternFill patternType="solid">
        <fgColor rgb="00EEEEEE"/>
      </patternFill>
    </fill>
  </fills>
  <borders count="14">
    <border>
      <left/>
      <right/>
      <top/>
      <bottom/>
      <diagonal/>
    </border>
    <border>
      <left style="thin">
        <color rgb="00DFE4EA"/>
      </left>
      <right style="thin">
        <color rgb="00DFE4EA"/>
      </right>
      <top style="thin">
        <color rgb="00DFE4EA"/>
      </top>
      <bottom style="thin">
        <color rgb="00DFE4EA"/>
      </bottom>
    </border>
    <border>
      <left style="medium">
        <color rgb="001A2744"/>
      </left>
      <right style="medium">
        <color rgb="001A2744"/>
      </right>
      <top style="medium">
        <color rgb="001A2744"/>
      </top>
      <bottom style="medium">
        <color rgb="001A2744"/>
      </bottom>
    </border>
    <border>
      <left/>
      <right/>
      <top style="thin">
        <color rgb="00DFE4EA"/>
      </top>
      <bottom/>
      <diagonal/>
    </border>
    <border>
      <left/>
      <right style="thin">
        <color rgb="00DFE4EA"/>
      </right>
      <top style="thin">
        <color rgb="00DFE4EA"/>
      </top>
      <bottom/>
      <diagonal/>
    </border>
    <border>
      <left/>
      <right style="thin">
        <color rgb="00DFE4EA"/>
      </right>
      <top style="thin">
        <color rgb="00DFE4EA"/>
      </top>
      <bottom style="thin">
        <color rgb="00DFE4EA"/>
      </bottom>
      <diagonal/>
    </border>
    <border>
      <left/>
      <right/>
      <top style="thin">
        <color rgb="00DFE4EA"/>
      </top>
      <bottom style="thin">
        <color rgb="00DFE4EA"/>
      </bottom>
      <diagonal/>
    </border>
    <border>
      <left style="thick">
        <color rgb="00C98A1B"/>
      </left>
    </border>
    <border>
      <left style="thin">
        <color rgb="00B7C9C5"/>
      </left>
      <right style="thin">
        <color rgb="00B7C9C5"/>
      </right>
      <top style="thin">
        <color rgb="00B7C9C5"/>
      </top>
      <bottom style="thin">
        <color rgb="00B7C9C5"/>
      </bottom>
    </border>
    <border>
      <left/>
      <right/>
      <top style="thin">
        <color rgb="00B7C9C5"/>
      </top>
      <bottom/>
      <diagonal/>
    </border>
    <border>
      <left/>
      <right style="thin">
        <color rgb="00B7C9C5"/>
      </right>
      <top style="thin">
        <color rgb="00B7C9C5"/>
      </top>
      <bottom/>
      <diagonal/>
    </border>
    <border>
      <left/>
      <right/>
      <top style="thin">
        <color rgb="00B7C9C5"/>
      </top>
      <bottom style="thin">
        <color rgb="00B7C9C5"/>
      </bottom>
      <diagonal/>
    </border>
    <border>
      <left/>
      <right style="thin">
        <color rgb="00B7C9C5"/>
      </right>
      <top style="thin">
        <color rgb="00B7C9C5"/>
      </top>
      <bottom style="thin">
        <color rgb="00B7C9C5"/>
      </bottom>
      <diagonal/>
    </border>
    <border>
      <left style="thick">
        <color rgb="00C98A1B"/>
      </left>
      <right style="thin">
        <color rgb="00B7C9C5"/>
      </right>
      <top style="thin">
        <color rgb="00B7C9C5"/>
      </top>
      <bottom style="thin">
        <color rgb="00B7C9C5"/>
      </bottom>
    </border>
  </borders>
  <cellStyleXfs count="1">
    <xf numFmtId="0" fontId="0" fillId="0" borderId="0"/>
  </cellStyleXfs>
  <cellXfs count="128">
    <xf numFmtId="0" fontId="0" fillId="0" borderId="0" pivotButton="0" quotePrefix="0" xfId="0"/>
    <xf numFmtId="0" fontId="1"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3"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4" borderId="0" applyAlignment="1" pivotButton="0" quotePrefix="0" xfId="0">
      <alignment horizontal="left" vertical="center" wrapText="1" indent="1"/>
    </xf>
    <xf numFmtId="0" fontId="8" fillId="0" borderId="1" applyAlignment="1" pivotButton="0" quotePrefix="0" xfId="0">
      <alignment horizontal="left" vertical="top" wrapText="1" indent="1"/>
    </xf>
    <xf numFmtId="0" fontId="9" fillId="4" borderId="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1" applyAlignment="1" pivotButton="0" quotePrefix="0" xfId="0">
      <alignment horizontal="left" vertical="center" wrapText="1" inden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5" borderId="1" applyAlignment="1" pivotButton="0" quotePrefix="0" xfId="0">
      <alignment horizontal="left" vertical="center" wrapText="1" indent="1"/>
    </xf>
    <xf numFmtId="0" fontId="13"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0" fillId="5" borderId="1" pivotButton="0" quotePrefix="0" xfId="0"/>
    <xf numFmtId="0" fontId="15" fillId="4" borderId="0" applyAlignment="1" pivotButton="0" quotePrefix="0" xfId="0">
      <alignment horizontal="left" vertical="center"/>
    </xf>
    <xf numFmtId="0" fontId="16" fillId="0" borderId="0" applyAlignment="1" pivotButton="0" quotePrefix="0" xfId="0">
      <alignment horizontal="left" vertical="top" wrapText="1" indent="1"/>
    </xf>
    <xf numFmtId="0" fontId="17" fillId="2" borderId="1" applyAlignment="1" pivotButton="0" quotePrefix="0" xfId="0">
      <alignment horizontal="center" vertical="center" wrapText="1"/>
    </xf>
    <xf numFmtId="0" fontId="17" fillId="4" borderId="1" applyAlignment="1" pivotButton="0" quotePrefix="0" xfId="0">
      <alignment horizontal="center" vertical="center" wrapText="1"/>
    </xf>
    <xf numFmtId="0" fontId="11" fillId="0" borderId="1" applyAlignment="1" pivotButton="0" quotePrefix="0" xfId="0">
      <alignment horizontal="left" vertical="center" wrapText="1" indent="1"/>
    </xf>
    <xf numFmtId="3" fontId="12" fillId="0" borderId="1" applyAlignment="1" pivotButton="0" quotePrefix="0" xfId="0">
      <alignment horizontal="center" vertical="center" wrapText="1"/>
    </xf>
    <xf numFmtId="0" fontId="0" fillId="4" borderId="1" pivotButton="0" quotePrefix="0" xfId="0"/>
    <xf numFmtId="0" fontId="0" fillId="6" borderId="1" pivotButton="0" quotePrefix="0" xfId="0"/>
    <xf numFmtId="0" fontId="0" fillId="7" borderId="1" pivotButton="0" quotePrefix="0" xfId="0"/>
    <xf numFmtId="0" fontId="0" fillId="2" borderId="1" pivotButton="0" quotePrefix="0" xfId="0"/>
    <xf numFmtId="0" fontId="0" fillId="8" borderId="1" pivotButton="0" quotePrefix="0" xfId="0"/>
    <xf numFmtId="0" fontId="0" fillId="9" borderId="1" pivotButton="0" quotePrefix="0" xfId="0"/>
    <xf numFmtId="0" fontId="11" fillId="0" borderId="0" pivotButton="0" quotePrefix="0" xfId="0"/>
    <xf numFmtId="0" fontId="7" fillId="2" borderId="0" applyAlignment="1" pivotButton="0" quotePrefix="0" xfId="0">
      <alignment horizontal="left" vertical="center" wrapText="1" indent="1"/>
    </xf>
    <xf numFmtId="0" fontId="8" fillId="0" borderId="0" applyAlignment="1" pivotButton="0" quotePrefix="0" xfId="0">
      <alignment horizontal="left" vertical="top" wrapText="1" indent="1"/>
    </xf>
    <xf numFmtId="0" fontId="18" fillId="0" borderId="1" applyAlignment="1" pivotButton="0" quotePrefix="0" xfId="0">
      <alignment horizontal="center" vertical="center" wrapText="1"/>
    </xf>
    <xf numFmtId="164" fontId="12" fillId="0" borderId="1" applyAlignment="1" pivotButton="0" quotePrefix="0" xfId="0">
      <alignment horizontal="right" vertical="center" wrapText="1"/>
    </xf>
    <xf numFmtId="164" fontId="19" fillId="0" borderId="1" applyAlignment="1" pivotButton="0" quotePrefix="0" xfId="0">
      <alignment horizontal="right" vertical="center" wrapText="1"/>
    </xf>
    <xf numFmtId="0" fontId="0" fillId="10" borderId="2" pivotButton="0" quotePrefix="0" xfId="0"/>
    <xf numFmtId="0" fontId="18" fillId="10" borderId="2" applyAlignment="1" pivotButton="0" quotePrefix="0" xfId="0">
      <alignment horizontal="left" vertical="center" wrapText="1" indent="1"/>
    </xf>
    <xf numFmtId="164" fontId="18" fillId="10" borderId="2" applyAlignment="1" pivotButton="0" quotePrefix="0" xfId="0">
      <alignment horizontal="right" vertical="center" wrapText="1"/>
    </xf>
    <xf numFmtId="0" fontId="0" fillId="4" borderId="2" pivotButton="0" quotePrefix="0" xfId="0"/>
    <xf numFmtId="0" fontId="20" fillId="4" borderId="2" applyAlignment="1" pivotButton="0" quotePrefix="0" xfId="0">
      <alignment horizontal="left" vertical="center" wrapText="1" indent="1"/>
    </xf>
    <xf numFmtId="164" fontId="20" fillId="4" borderId="2" applyAlignment="1" pivotButton="0" quotePrefix="0" xfId="0">
      <alignment horizontal="right" vertical="center" wrapText="1"/>
    </xf>
    <xf numFmtId="0" fontId="7" fillId="4" borderId="0" applyAlignment="1" pivotButton="0" quotePrefix="0" xfId="0">
      <alignment horizontal="left" vertical="top" wrapText="1" indent="1"/>
    </xf>
    <xf numFmtId="0" fontId="12" fillId="0" borderId="1" applyAlignment="1" pivotButton="0" quotePrefix="0" xfId="0">
      <alignment horizontal="center" vertical="center" wrapText="1"/>
    </xf>
    <xf numFmtId="0" fontId="12" fillId="0" borderId="1" applyAlignment="1" pivotButton="0" quotePrefix="0" xfId="0">
      <alignment horizontal="left" vertical="top" wrapText="1" indent="1"/>
    </xf>
    <xf numFmtId="3" fontId="12" fillId="0" borderId="1" applyAlignment="1" pivotButton="0" quotePrefix="0" xfId="0">
      <alignment horizontal="right" vertical="center" wrapText="1"/>
    </xf>
    <xf numFmtId="164" fontId="12" fillId="11" borderId="1" applyAlignment="1" pivotButton="0" quotePrefix="0" xfId="0">
      <alignment horizontal="right" vertical="center" wrapText="1"/>
    </xf>
    <xf numFmtId="0" fontId="12" fillId="5" borderId="1" applyAlignment="1" pivotButton="0" quotePrefix="0" xfId="0">
      <alignment horizontal="center" vertical="center" wrapText="1"/>
    </xf>
    <xf numFmtId="0" fontId="12" fillId="5" borderId="1" applyAlignment="1" pivotButton="0" quotePrefix="0" xfId="0">
      <alignment horizontal="left" vertical="top" wrapText="1" indent="1"/>
    </xf>
    <xf numFmtId="3" fontId="12" fillId="5" borderId="1" applyAlignment="1" pivotButton="0" quotePrefix="0" xfId="0">
      <alignment horizontal="right" vertical="center" wrapText="1"/>
    </xf>
    <xf numFmtId="164" fontId="12" fillId="5" borderId="1" applyAlignment="1" pivotButton="0" quotePrefix="0" xfId="0">
      <alignment horizontal="right" vertical="center" wrapText="1"/>
    </xf>
    <xf numFmtId="3" fontId="12" fillId="11" borderId="1" applyAlignment="1" pivotButton="0" quotePrefix="0" xfId="0">
      <alignment horizontal="right" vertical="center" wrapText="1"/>
    </xf>
    <xf numFmtId="0" fontId="0" fillId="10" borderId="1" pivotButton="0" quotePrefix="0" xfId="0"/>
    <xf numFmtId="0" fontId="11" fillId="10" borderId="1" applyAlignment="1" pivotButton="0" quotePrefix="0" xfId="0">
      <alignment horizontal="left" vertical="center" wrapText="1" indent="1"/>
    </xf>
    <xf numFmtId="164" fontId="11" fillId="10" borderId="1" applyAlignment="1" pivotButton="0" quotePrefix="0" xfId="0">
      <alignment horizontal="right" vertical="center" wrapText="1"/>
    </xf>
    <xf numFmtId="164" fontId="0" fillId="0" borderId="0" pivotButton="0" quotePrefix="0" xfId="0"/>
    <xf numFmtId="0" fontId="7" fillId="2" borderId="0" applyAlignment="1" pivotButton="0" quotePrefix="0" xfId="0">
      <alignment horizontal="left" vertical="center"/>
    </xf>
    <xf numFmtId="4" fontId="12" fillId="5" borderId="1" applyAlignment="1" pivotButton="0" quotePrefix="0" xfId="0">
      <alignment horizontal="right" vertical="center" wrapText="1"/>
    </xf>
    <xf numFmtId="4" fontId="12" fillId="0" borderId="1" applyAlignment="1" pivotButton="0" quotePrefix="0" xfId="0">
      <alignment horizontal="right" vertical="center" wrapText="1"/>
    </xf>
    <xf numFmtId="3" fontId="12" fillId="5" borderId="1" applyAlignment="1" pivotButton="0" quotePrefix="0" xfId="0">
      <alignment horizontal="center" vertical="center" wrapText="1"/>
    </xf>
    <xf numFmtId="0" fontId="11" fillId="10" borderId="2" applyAlignment="1" pivotButton="0" quotePrefix="0" xfId="0">
      <alignment horizontal="left" vertical="center" wrapText="1" indent="1"/>
    </xf>
    <xf numFmtId="3" fontId="11" fillId="10" borderId="2" applyAlignment="1" pivotButton="0" quotePrefix="0" xfId="0">
      <alignment horizontal="center" vertical="center" wrapText="1"/>
    </xf>
    <xf numFmtId="4" fontId="11" fillId="10" borderId="2" applyAlignment="1" pivotButton="0" quotePrefix="0" xfId="0">
      <alignment horizontal="right" vertical="center" wrapText="1"/>
    </xf>
    <xf numFmtId="3" fontId="11" fillId="10" borderId="2" applyAlignment="1" pivotButton="0" quotePrefix="0" xfId="0">
      <alignment horizontal="right" vertical="center" wrapText="1"/>
    </xf>
    <xf numFmtId="164" fontId="11" fillId="10" borderId="2" applyAlignment="1" pivotButton="0" quotePrefix="0" xfId="0">
      <alignment horizontal="right" vertical="center" wrapText="1"/>
    </xf>
    <xf numFmtId="0" fontId="2" fillId="2" borderId="0" applyAlignment="1" pivotButton="0" quotePrefix="0" xfId="0">
      <alignment horizontal="left" vertical="center" wrapText="1" indent="1"/>
    </xf>
    <xf numFmtId="0" fontId="14" fillId="0" borderId="1" applyAlignment="1" pivotButton="0" quotePrefix="0" xfId="0">
      <alignment horizontal="left" vertical="center" wrapText="1" indent="1"/>
    </xf>
    <xf numFmtId="0" fontId="21" fillId="0" borderId="0" pivotButton="0" quotePrefix="0" xfId="0"/>
    <xf numFmtId="0" fontId="22" fillId="0" borderId="0" pivotButton="0" quotePrefix="0" xfId="0"/>
    <xf numFmtId="0" fontId="0" fillId="13" borderId="0" pivotButton="0" quotePrefix="0" xfId="0"/>
    <xf numFmtId="0" fontId="23" fillId="12" borderId="7" applyAlignment="1" pivotButton="0" quotePrefix="0" xfId="0">
      <alignment vertical="top" wrapText="1"/>
    </xf>
    <xf numFmtId="0" fontId="28" fillId="0" borderId="0" applyAlignment="1" pivotButton="0" quotePrefix="0" xfId="0">
      <alignment vertical="top" wrapText="1"/>
    </xf>
    <xf numFmtId="0" fontId="0" fillId="0" borderId="0" applyAlignment="1" pivotButton="0" quotePrefix="0" xfId="0">
      <alignment vertical="top" wrapText="1"/>
    </xf>
    <xf numFmtId="0" fontId="25" fillId="0" borderId="0" applyAlignment="1" pivotButton="0" quotePrefix="0" xfId="0">
      <alignment vertical="top" wrapText="1"/>
    </xf>
    <xf numFmtId="0" fontId="34" fillId="14" borderId="0" applyAlignment="1" pivotButton="0" quotePrefix="0" xfId="0">
      <alignment vertical="center"/>
    </xf>
    <xf numFmtId="0" fontId="26" fillId="14" borderId="8" applyAlignment="1" pivotButton="0" quotePrefix="0" xfId="0">
      <alignment horizontal="center" vertical="center" wrapText="1"/>
    </xf>
    <xf numFmtId="0" fontId="0" fillId="0" borderId="8" applyAlignment="1" pivotButton="0" quotePrefix="0" xfId="0">
      <alignment vertical="top" wrapText="1"/>
    </xf>
    <xf numFmtId="165" fontId="33" fillId="0" borderId="8" applyAlignment="1" pivotButton="0" quotePrefix="0" xfId="0">
      <alignment horizontal="right" vertical="top"/>
    </xf>
    <xf numFmtId="0" fontId="24" fillId="13" borderId="0" applyAlignment="1" pivotButton="0" quotePrefix="0" xfId="0">
      <alignment horizontal="right" vertical="center"/>
    </xf>
    <xf numFmtId="165" fontId="31" fillId="15" borderId="8" applyAlignment="1" pivotButton="0" quotePrefix="0" xfId="0">
      <alignment horizontal="right" vertical="top"/>
    </xf>
    <xf numFmtId="0" fontId="28" fillId="0" borderId="0" pivotButton="0" quotePrefix="0" xfId="0"/>
    <xf numFmtId="0" fontId="41" fillId="0" borderId="0" applyAlignment="1" pivotButton="0" quotePrefix="0" xfId="0">
      <alignment horizontal="right"/>
    </xf>
    <xf numFmtId="0" fontId="0" fillId="0" borderId="8" pivotButton="0" quotePrefix="0" xfId="0"/>
    <xf numFmtId="0" fontId="22" fillId="0" borderId="8" pivotButton="0" quotePrefix="0" xfId="0"/>
    <xf numFmtId="166" fontId="0" fillId="16" borderId="8" applyAlignment="1" applyProtection="1" pivotButton="0" quotePrefix="0" xfId="0">
      <alignment horizontal="right" vertical="top"/>
      <protection locked="0" hidden="0"/>
    </xf>
    <xf numFmtId="0" fontId="34" fillId="14" borderId="0" applyAlignment="1" pivotButton="0" quotePrefix="0" xfId="0">
      <alignment horizontal="right" vertical="center"/>
    </xf>
    <xf numFmtId="165" fontId="42" fillId="15" borderId="8" applyAlignment="1" pivotButton="0" quotePrefix="0" xfId="0">
      <alignment horizontal="right" vertical="top"/>
    </xf>
    <xf numFmtId="0" fontId="34" fillId="13" borderId="0" applyAlignment="1" pivotButton="0" quotePrefix="0" xfId="0">
      <alignment vertical="center"/>
    </xf>
    <xf numFmtId="165" fontId="31" fillId="0" borderId="8" applyAlignment="1" pivotButton="0" quotePrefix="0" xfId="0">
      <alignment horizontal="right" vertical="top"/>
    </xf>
    <xf numFmtId="0" fontId="35" fillId="0" borderId="0" applyAlignment="1" pivotButton="0" quotePrefix="0" xfId="0">
      <alignment vertical="top" wrapText="1"/>
    </xf>
    <xf numFmtId="0" fontId="43" fillId="12" borderId="13" applyAlignment="1" pivotButton="0" quotePrefix="0" xfId="0">
      <alignment vertical="top" wrapText="1"/>
    </xf>
    <xf numFmtId="4" fontId="31" fillId="0" borderId="8" applyAlignment="1" pivotButton="0" quotePrefix="0" xfId="0">
      <alignment horizontal="right" vertical="top"/>
    </xf>
    <xf numFmtId="0" fontId="44" fillId="0" borderId="0" pivotButton="0" quotePrefix="0" xfId="0"/>
    <xf numFmtId="0" fontId="0" fillId="0" borderId="11" pivotButton="0" quotePrefix="0" xfId="0"/>
    <xf numFmtId="0" fontId="0" fillId="0" borderId="12" pivotButton="0" quotePrefix="0" xfId="0"/>
    <xf numFmtId="0" fontId="24" fillId="13" borderId="0" pivotButton="0" quotePrefix="0" xfId="0"/>
    <xf numFmtId="0" fontId="25" fillId="12" borderId="0" applyAlignment="1" pivotButton="0" quotePrefix="0" xfId="0">
      <alignment vertical="top" wrapText="1"/>
    </xf>
    <xf numFmtId="0" fontId="28" fillId="15" borderId="0" pivotButton="0" quotePrefix="0" xfId="0"/>
    <xf numFmtId="0" fontId="24" fillId="14" borderId="0" pivotButton="0" quotePrefix="0" xfId="0"/>
    <xf numFmtId="0" fontId="40" fillId="0" borderId="0" applyAlignment="1" pivotButton="0" quotePrefix="0" xfId="0">
      <alignment vertical="top" wrapText="1"/>
    </xf>
    <xf numFmtId="0" fontId="22" fillId="0" borderId="0" applyAlignment="1" pivotButton="0" quotePrefix="0" xfId="0">
      <alignment vertical="top" wrapText="1"/>
    </xf>
    <xf numFmtId="0" fontId="27" fillId="0" borderId="0" pivotButton="0" quotePrefix="0" xfId="0"/>
    <xf numFmtId="0" fontId="28" fillId="15" borderId="8" applyAlignment="1" pivotButton="0" quotePrefix="0" xfId="0">
      <alignment horizontal="center"/>
    </xf>
    <xf numFmtId="0" fontId="28" fillId="0" borderId="0" applyAlignment="1" pivotButton="0" quotePrefix="0" xfId="0">
      <alignment horizontal="center"/>
    </xf>
    <xf numFmtId="0" fontId="29" fillId="0" borderId="0" applyAlignment="1" pivotButton="0" quotePrefix="0" xfId="0">
      <alignment vertical="top" wrapText="1"/>
    </xf>
    <xf numFmtId="0" fontId="30" fillId="0" borderId="0" applyAlignment="1" pivotButton="0" quotePrefix="0" xfId="0">
      <alignment vertical="top" wrapText="1"/>
    </xf>
    <xf numFmtId="4" fontId="0" fillId="0" borderId="8" applyAlignment="1" pivotButton="0" quotePrefix="0" xfId="0">
      <alignment horizontal="right" vertical="top"/>
    </xf>
    <xf numFmtId="165" fontId="0" fillId="16" borderId="8" applyAlignment="1" applyProtection="1" pivotButton="0" quotePrefix="0" xfId="0">
      <alignment horizontal="right" vertical="top"/>
      <protection locked="0" hidden="0"/>
    </xf>
    <xf numFmtId="0" fontId="32" fillId="0" borderId="8" applyAlignment="1" pivotButton="0" quotePrefix="0" xfId="0">
      <alignment vertical="top" wrapText="1"/>
    </xf>
    <xf numFmtId="0" fontId="28" fillId="0" borderId="8" pivotButton="0" quotePrefix="0" xfId="0"/>
    <xf numFmtId="0" fontId="24" fillId="14" borderId="0" applyAlignment="1" pivotButton="0" quotePrefix="0" xfId="0">
      <alignment horizontal="right" vertical="center"/>
    </xf>
    <xf numFmtId="0" fontId="36" fillId="0" borderId="8" applyAlignment="1" pivotButton="0" quotePrefix="0" xfId="0">
      <alignment vertical="top" wrapText="1"/>
    </xf>
    <xf numFmtId="4" fontId="36" fillId="0" borderId="8" applyAlignment="1" pivotButton="0" quotePrefix="0" xfId="0">
      <alignment horizontal="right" vertical="top"/>
    </xf>
    <xf numFmtId="0" fontId="36" fillId="17" borderId="8" pivotButton="0" quotePrefix="0" xfId="0"/>
    <xf numFmtId="0" fontId="37" fillId="17" borderId="8" applyAlignment="1" pivotButton="0" quotePrefix="0" xfId="0">
      <alignment horizontal="center" vertical="top"/>
    </xf>
    <xf numFmtId="0" fontId="27" fillId="0" borderId="8" applyAlignment="1" pivotButton="0" quotePrefix="0" xfId="0">
      <alignment vertical="top" wrapText="1"/>
    </xf>
    <xf numFmtId="0" fontId="38" fillId="0" borderId="8" applyAlignment="1" pivotButton="0" quotePrefix="0" xfId="0">
      <alignment vertical="top" wrapText="1"/>
    </xf>
    <xf numFmtId="4" fontId="38" fillId="0" borderId="8" applyAlignment="1" pivotButton="0" quotePrefix="0" xfId="0">
      <alignment horizontal="right" vertical="top"/>
    </xf>
    <xf numFmtId="0" fontId="38" fillId="17" borderId="8" pivotButton="0" quotePrefix="0" xfId="0"/>
    <xf numFmtId="0" fontId="39" fillId="0" borderId="8" applyAlignment="1" pivotButton="0" quotePrefix="0" xfId="0">
      <alignment vertical="top" wrapText="1"/>
    </xf>
    <xf numFmtId="4" fontId="0" fillId="0" borderId="8" applyAlignment="1" pivotButton="0" quotePrefix="0" xfId="0">
      <alignment vertical="top" wrapText="1"/>
    </xf>
    <xf numFmtId="0" fontId="40" fillId="0" borderId="0" pivotButton="0" quotePrefix="0" xfId="0"/>
    <xf numFmtId="0" fontId="31" fillId="0" borderId="0" pivotButton="0" quotePrefix="0" xfId="0"/>
    <xf numFmtId="4" fontId="0" fillId="0" borderId="8" pivotButton="0" quotePrefix="0" xfId="0"/>
    <xf numFmtId="4" fontId="3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s>
</file>

<file path=xl/drawings/_rels/drawing6.xml.rels><Relationships xmlns="http://schemas.openxmlformats.org/package/2006/relationships"><Relationship Type="http://schemas.openxmlformats.org/officeDocument/2006/relationships/image" Target="/xl/media/image7.png" Id="rId1"/></Relationships>
</file>

<file path=xl/drawings/_rels/drawing7.xml.rels><Relationships xmlns="http://schemas.openxmlformats.org/package/2006/relationships"><Relationship Type="http://schemas.openxmlformats.org/officeDocument/2006/relationships/image" Target="/xl/media/image8.png" Id="rId1"/></Relationships>
</file>

<file path=xl/drawings/_rels/drawing8.xml.rels><Relationships xmlns="http://schemas.openxmlformats.org/package/2006/relationships"><Relationship Type="http://schemas.openxmlformats.org/officeDocument/2006/relationships/image" Target="/xl/media/image9.png" Id="rId1"/></Relationships>
</file>

<file path=xl/drawings/_rels/drawing9.xml.rels><Relationships xmlns="http://schemas.openxmlformats.org/package/2006/relationships"><Relationship Type="http://schemas.openxmlformats.org/officeDocument/2006/relationships/image" Target="/xl/media/image10.png" Id="rId1"/></Relationships>
</file>

<file path=xl/drawings/_rels/drawing10.xml.rels><Relationships xmlns="http://schemas.openxmlformats.org/package/2006/relationships"><Relationship Type="http://schemas.openxmlformats.org/officeDocument/2006/relationships/image" Target="/xl/media/image11.png" Id="rId1"/></Relationships>
</file>

<file path=xl/drawings/_rels/drawing11.xml.rels><Relationships xmlns="http://schemas.openxmlformats.org/package/2006/relationships"><Relationship Type="http://schemas.openxmlformats.org/officeDocument/2006/relationships/image" Target="/xl/media/image12.png" Id="rId1"/></Relationships>
</file>

<file path=xl/drawings/_rels/drawing12.xml.rels><Relationships xmlns="http://schemas.openxmlformats.org/package/2006/relationships"><Relationship Type="http://schemas.openxmlformats.org/officeDocument/2006/relationships/image" Target="/xl/media/image13.png" Id="rId1"/></Relationships>
</file>

<file path=xl/drawings/_rels/drawing13.xml.rels><Relationships xmlns="http://schemas.openxmlformats.org/package/2006/relationships"><Relationship Type="http://schemas.openxmlformats.org/officeDocument/2006/relationships/image" Target="/xl/media/image14.png" Id="rId1"/></Relationships>
</file>

<file path=xl/drawings/drawing1.xml><?xml version="1.0" encoding="utf-8"?>
<wsDr xmlns="http://schemas.openxmlformats.org/drawingml/2006/spreadsheetDrawing">
  <oneCellAnchor>
    <from>
      <col>1</col>
      <colOff>0</colOff>
      <row>1</row>
      <rowOff>0</rowOff>
    </from>
    <ext cx="2095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1</row>
      <rowOff>0</rowOff>
    </from>
    <ext cx="1238250" cy="76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Cover'!A1" TargetMode="External" Id="rId1"/><Relationship Type="http://schemas.openxmlformats.org/officeDocument/2006/relationships/hyperlink" Target="#'Contents'!A1" TargetMode="External" Id="rId2"/><Relationship Type="http://schemas.openxmlformats.org/officeDocument/2006/relationships/hyperlink" Target="#'Programme'!A1" TargetMode="External" Id="rId3"/><Relationship Type="http://schemas.openxmlformats.org/officeDocument/2006/relationships/hyperlink" Target="#'Summary'!A1" TargetMode="External" Id="rId4"/><Relationship Type="http://schemas.openxmlformats.org/officeDocument/2006/relationships/hyperlink" Target="#'A_Preliminaries'!A1" TargetMode="External" Id="rId5"/><Relationship Type="http://schemas.openxmlformats.org/officeDocument/2006/relationships/hyperlink" Target="#'B_ICF_Supply'!A1" TargetMode="External" Id="rId6"/><Relationship Type="http://schemas.openxmlformats.org/officeDocument/2006/relationships/hyperlink" Target="#'C_Concrete'!A1" TargetMode="External" Id="rId7"/><Relationship Type="http://schemas.openxmlformats.org/officeDocument/2006/relationships/hyperlink" Target="#'D_Labour'!A1" TargetMode="External" Id="rId8"/><Relationship Type="http://schemas.openxmlformats.org/officeDocument/2006/relationships/hyperlink" Target="#'F_Reference'!A1" TargetMode="External" Id="rId9"/></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_rels/sheet11.xml.rels><Relationships xmlns="http://schemas.openxmlformats.org/package/2006/relationships"><Relationship Type="http://schemas.openxmlformats.org/officeDocument/2006/relationships/drawing" Target="/xl/drawings/drawing3.xml" Id="rId1"/></Relationships>
</file>

<file path=xl/worksheets/_rels/sheet12.xml.rels><Relationships xmlns="http://schemas.openxmlformats.org/package/2006/relationships"><Relationship Type="http://schemas.openxmlformats.org/officeDocument/2006/relationships/drawing" Target="/xl/drawings/drawing4.xml" Id="rId1"/></Relationships>
</file>

<file path=xl/worksheets/_rels/sheet13.xml.rels><Relationships xmlns="http://schemas.openxmlformats.org/package/2006/relationships"><Relationship Type="http://schemas.openxmlformats.org/officeDocument/2006/relationships/drawing" Target="/xl/drawings/drawing5.xml" Id="rId1"/></Relationships>
</file>

<file path=xl/worksheets/_rels/sheet14.xml.rels><Relationships xmlns="http://schemas.openxmlformats.org/package/2006/relationships"><Relationship Type="http://schemas.openxmlformats.org/officeDocument/2006/relationships/drawing" Target="/xl/drawings/drawing6.xml" Id="rId1"/></Relationships>
</file>

<file path=xl/worksheets/_rels/sheet15.xml.rels><Relationships xmlns="http://schemas.openxmlformats.org/package/2006/relationships"><Relationship Type="http://schemas.openxmlformats.org/officeDocument/2006/relationships/drawing" Target="/xl/drawings/drawing7.xml" Id="rId1"/></Relationships>
</file>

<file path=xl/worksheets/_rels/sheet16.xml.rels><Relationships xmlns="http://schemas.openxmlformats.org/package/2006/relationships"><Relationship Type="http://schemas.openxmlformats.org/officeDocument/2006/relationships/drawing" Target="/xl/drawings/drawing8.xml" Id="rId1"/></Relationships>
</file>

<file path=xl/worksheets/_rels/sheet17.xml.rels><Relationships xmlns="http://schemas.openxmlformats.org/package/2006/relationships"><Relationship Type="http://schemas.openxmlformats.org/officeDocument/2006/relationships/drawing" Target="/xl/drawings/drawing9.xml" Id="rId1"/></Relationships>
</file>

<file path=xl/worksheets/_rels/sheet18.xml.rels><Relationships xmlns="http://schemas.openxmlformats.org/package/2006/relationships"><Relationship Type="http://schemas.openxmlformats.org/officeDocument/2006/relationships/drawing" Target="/xl/drawings/drawing10.xml" Id="rId1"/></Relationships>
</file>

<file path=xl/worksheets/_rels/sheet19.xml.rels><Relationships xmlns="http://schemas.openxmlformats.org/package/2006/relationships"><Relationship Type="http://schemas.openxmlformats.org/officeDocument/2006/relationships/drawing" Target="/xl/drawings/drawing11.xml" Id="rId1"/></Relationships>
</file>

<file path=xl/worksheets/_rels/sheet20.xml.rels><Relationships xmlns="http://schemas.openxmlformats.org/package/2006/relationships"><Relationship Type="http://schemas.openxmlformats.org/officeDocument/2006/relationships/drawing" Target="/xl/drawings/drawing12.xml" Id="rId1"/></Relationships>
</file>

<file path=xl/worksheets/_rels/sheet21.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fitToPage="1"/>
  </sheetPr>
  <dimension ref="A10:F36"/>
  <sheetViews>
    <sheetView showGridLines="0" workbookViewId="0">
      <selection activeCell="A1" sqref="A1"/>
    </sheetView>
  </sheetViews>
  <sheetFormatPr baseColWidth="8" defaultRowHeight="15"/>
  <cols>
    <col width="12" customWidth="1" min="1" max="1"/>
    <col width="30" customWidth="1" min="2" max="2"/>
    <col width="24" customWidth="1" min="3" max="3"/>
    <col width="24" customWidth="1" min="4" max="4"/>
    <col width="24" customWidth="1" min="5" max="5"/>
    <col width="12" customWidth="1" min="6" max="6"/>
  </cols>
  <sheetData>
    <row r="2" ht="18" customHeight="1"/>
    <row r="3" ht="18" customHeight="1"/>
    <row r="4" ht="18" customHeight="1"/>
    <row r="5" ht="18" customHeight="1"/>
    <row r="6" ht="18" customHeight="1"/>
    <row r="7" ht="18" customHeight="1"/>
    <row r="10" ht="40" customHeight="1">
      <c r="A10" s="1" t="inlineStr">
        <is>
          <t>BILL OF QUANTITIES</t>
        </is>
      </c>
    </row>
    <row r="11" ht="24" customHeight="1">
      <c r="A11" s="2" t="inlineStr">
        <is>
          <t>ICF KIT  ·  CONCRETE  ·  LABOUR</t>
        </is>
      </c>
    </row>
    <row r="12" ht="12" customHeight="1"/>
    <row r="13" ht="12" customHeight="1"/>
    <row r="14" ht="36" customHeight="1">
      <c r="A14" s="3" t="inlineStr">
        <is>
          <t>LAND TO REAR OF 1-8 WESLEY TERRACE, CASTLESIDE</t>
        </is>
      </c>
    </row>
    <row r="15">
      <c r="A15" s="4" t="inlineStr">
        <is>
          <t>18-Plot ICF Development  ·  8 blocks  ·  Castleside, Consett, County Durham DH8 9QB</t>
        </is>
      </c>
    </row>
    <row r="16" ht="24" customHeight="1"/>
    <row r="17" ht="22" customHeight="1">
      <c r="B17" s="5" t="inlineStr">
        <is>
          <t>Quotation Reference</t>
        </is>
      </c>
      <c r="C17" s="6" t="inlineStr">
        <is>
          <t>ES26-080</t>
        </is>
      </c>
      <c r="D17" s="7" t="n"/>
      <c r="E17" s="7" t="n"/>
    </row>
    <row r="18" ht="22" customHeight="1">
      <c r="B18" s="5" t="inlineStr">
        <is>
          <t>Project</t>
        </is>
      </c>
      <c r="C18" s="6" t="inlineStr">
        <is>
          <t>Land to Rear of 1-8 Wesley Terrace, Castleside</t>
        </is>
      </c>
      <c r="D18" s="7" t="n"/>
      <c r="E18" s="7" t="n"/>
    </row>
    <row r="19" ht="22" customHeight="1">
      <c r="B19" s="5" t="inlineStr">
        <is>
          <t>House Type</t>
        </is>
      </c>
      <c r="C19" s="6" t="inlineStr">
        <is>
          <t>HT01 3B5P (semi pairs + terraces of 3) / HT02 2B4P bungalow</t>
        </is>
      </c>
      <c r="D19" s="7" t="n"/>
      <c r="E19" s="7" t="n"/>
    </row>
    <row r="20" ht="22" customHeight="1">
      <c r="B20" s="5" t="inlineStr">
        <is>
          <t>Client</t>
        </is>
      </c>
      <c r="C20" s="6" t="inlineStr">
        <is>
          <t>Wannop Developments Ltd</t>
        </is>
      </c>
      <c r="D20" s="7" t="n"/>
      <c r="E20" s="7" t="n"/>
    </row>
    <row r="21" ht="22" customHeight="1">
      <c r="B21" s="5" t="inlineStr">
        <is>
          <t>Site Address</t>
        </is>
      </c>
      <c r="C21" s="6" t="inlineStr">
        <is>
          <t>Land to Rear of 1-8 Wesley Terrace, Castleside, Consett DH8 9QB</t>
        </is>
      </c>
      <c r="D21" s="7" t="n"/>
      <c r="E21" s="7" t="n"/>
    </row>
    <row r="22" ht="22" customHeight="1">
      <c r="B22" s="5" t="inlineStr">
        <is>
          <t>BOQ Issued</t>
        </is>
      </c>
      <c r="C22" s="6" t="inlineStr">
        <is>
          <t>19 October 2026</t>
        </is>
      </c>
      <c r="D22" s="7" t="n"/>
      <c r="E22" s="7" t="n"/>
    </row>
    <row r="23" ht="22" customHeight="1">
      <c r="B23" s="5" t="inlineStr">
        <is>
          <t>BOQ Reference</t>
        </is>
      </c>
      <c r="C23" s="6" t="inlineStr">
        <is>
          <t>BOQ-ES26-080-001  ·  Revision 1.0</t>
        </is>
      </c>
      <c r="D23" s="7" t="n"/>
      <c r="E23" s="7" t="n"/>
    </row>
    <row r="24" ht="22" customHeight="1">
      <c r="B24" s="5" t="inlineStr">
        <is>
          <t>Prepared by</t>
        </is>
      </c>
      <c r="C24" s="6" t="inlineStr">
        <is>
          <t>Tom Smith — BuildEase Manager, Nudura UK</t>
        </is>
      </c>
      <c r="D24" s="7" t="n"/>
      <c r="E24" s="7" t="n"/>
    </row>
    <row r="25" ht="22" customHeight="1">
      <c r="B25" s="5" t="inlineStr">
        <is>
          <t>Issued by</t>
        </is>
      </c>
      <c r="C25" s="6" t="inlineStr">
        <is>
          <t>Tremco Construction Products Group</t>
        </is>
      </c>
      <c r="D25" s="7" t="n"/>
      <c r="E25" s="7" t="n"/>
    </row>
    <row r="26" ht="22" customHeight="1">
      <c r="B26" s="5" t="inlineStr">
        <is>
          <t>Currency</t>
        </is>
      </c>
      <c r="C26" s="6" t="inlineStr">
        <is>
          <t>Pound Sterling (GBP)  ·  VAT at 20%</t>
        </is>
      </c>
      <c r="D26" s="7" t="n"/>
      <c r="E26" s="7" t="n"/>
    </row>
    <row r="27" ht="22" customHeight="1">
      <c r="B27" s="5" t="inlineStr">
        <is>
          <t>Measurement Convention</t>
        </is>
      </c>
      <c r="C27" s="6" t="inlineStr">
        <is>
          <t>RICS New Rules of Measurement (NRM2)</t>
        </is>
      </c>
      <c r="D27" s="7" t="n"/>
      <c r="E27" s="7" t="n"/>
    </row>
    <row r="29" ht="22" customHeight="1">
      <c r="B29" s="8" t="inlineStr">
        <is>
          <t xml:space="preserve">  IMPORTANT NOTICE — DISCLAIMER</t>
        </is>
      </c>
    </row>
    <row r="30" ht="32" customHeight="1">
      <c r="B30" s="9" t="inlineStr">
        <is>
          <t>•  This Bill of Quantities is supplied in good faith based on the BuildEase take-off models for Land to Rear of 1-8 Wesley Terrace, Castleside and the associated Tremco CPG quotation.</t>
        </is>
      </c>
      <c r="C30" s="7" t="n"/>
      <c r="D30" s="7" t="n"/>
      <c r="E30" s="7" t="n"/>
    </row>
    <row r="31" ht="32" customHeight="1">
      <c r="B31" s="9" t="inlineStr">
        <is>
          <t>•  ALL QUANTITIES SHOULD BE INDEPENDENTLY CHECKED AND VERIFIED BY THE PROJECT QS / QUANTITY SURVEYOR before tender submission, ordering or contract award.</t>
        </is>
      </c>
      <c r="C31" s="7" t="n"/>
      <c r="D31" s="7" t="n"/>
      <c r="E31" s="7" t="n"/>
    </row>
    <row r="32" ht="32" customHeight="1">
      <c r="B32" s="9" t="inlineStr">
        <is>
          <t>•  This BOQ does NOT include an external render / finish allowance. Any render, coatings or external wall finish must be measured and priced separately.</t>
        </is>
      </c>
      <c r="C32" s="7" t="n"/>
      <c r="D32" s="7" t="n"/>
      <c r="E32" s="7" t="n"/>
    </row>
    <row r="33" ht="32" customHeight="1">
      <c r="B33" s="9" t="inlineStr">
        <is>
          <t>•  Section C (Concrete) volumes are geometric voids — allow ~3% web displacement deduction and ~5% wastage on top when ordering ready-mix.</t>
        </is>
      </c>
      <c r="C33" s="7" t="n"/>
      <c r="D33" s="7" t="n"/>
      <c r="E33" s="7" t="n"/>
    </row>
    <row r="34" ht="32" customHeight="1">
      <c r="B34" s="9" t="inlineStr">
        <is>
          <t>•  Section D (Labour) day estimates are scaled proportionately from a reference project; actual gang productivity will vary with site conditions, weather and trade experience.</t>
        </is>
      </c>
      <c r="C34" s="7" t="n"/>
      <c r="D34" s="7" t="n"/>
      <c r="E34" s="7" t="n"/>
    </row>
    <row r="35" ht="32" customHeight="1">
      <c r="B35" s="9" t="inlineStr">
        <is>
          <t>•  BuildEase, Tremco Construction Products Group and Nudura UK accept no liability for tender or contract outcomes arising from the use of these figures. If in doubt — ask.</t>
        </is>
      </c>
      <c r="C35" s="7" t="n"/>
      <c r="D35" s="7" t="n"/>
      <c r="E35" s="7" t="n"/>
    </row>
    <row r="36" ht="32" customHeight="1">
      <c r="B36" s="9" t="inlineStr">
        <is>
          <t>•  Contact: Tom Smith — BuildEase Manager, Nudura UK — for clarification on any quantity or rate basis in this document.</t>
        </is>
      </c>
      <c r="C36" s="7" t="n"/>
      <c r="D36" s="7" t="n"/>
      <c r="E36" s="7" t="n"/>
    </row>
  </sheetData>
  <mergeCells count="23">
    <mergeCell ref="C22:E22"/>
    <mergeCell ref="B30:E30"/>
    <mergeCell ref="B33:E33"/>
    <mergeCell ref="C21:E21"/>
    <mergeCell ref="B36:E36"/>
    <mergeCell ref="B32:E32"/>
    <mergeCell ref="C27:E27"/>
    <mergeCell ref="B35:E35"/>
    <mergeCell ref="A14:F14"/>
    <mergeCell ref="C23:E23"/>
    <mergeCell ref="C17:E17"/>
    <mergeCell ref="B31:E31"/>
    <mergeCell ref="A10:F10"/>
    <mergeCell ref="C19:E19"/>
    <mergeCell ref="C18:E18"/>
    <mergeCell ref="A15:F15"/>
    <mergeCell ref="C24:E24"/>
    <mergeCell ref="A11:F11"/>
    <mergeCell ref="B29:E29"/>
    <mergeCell ref="C26:E26"/>
    <mergeCell ref="B34:E34"/>
    <mergeCell ref="C20:E20"/>
    <mergeCell ref="C25:E25"/>
  </mergeCells>
  <printOptions horizontalCentered="1"/>
  <pageMargins left="0.5" right="0.5" top="0.6" bottom="0.6" header="0.3" footer="0.3"/>
  <pageSetup orientation="portrait" paperSize="9" fitToHeight="0" fitToWidth="1"/>
  <headerFooter>
    <oddHeader/>
    <oddFooter>&amp;L&amp;9 &amp;K5A6C7DLand to Rear of 1-8 Wesley Terrace, Castleside  ·  ES26-080&amp;C&amp;9 &amp;K5A6C7DPage &amp;P of &amp;N&amp;R&amp;9 &amp;K5A6C7DIssued 19 Oct 2026</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E13"/>
  <sheetViews>
    <sheetView showGridLines="0" workbookViewId="0">
      <selection activeCell="A1" sqref="A1"/>
    </sheetView>
  </sheetViews>
  <sheetFormatPr baseColWidth="8" defaultRowHeight="15"/>
  <cols>
    <col width="12" customWidth="1" min="1" max="1"/>
    <col width="50" customWidth="1" min="2" max="2"/>
    <col width="18" customWidth="1" min="3" max="3"/>
    <col width="18" customWidth="1" min="4" max="4"/>
    <col width="14" customWidth="1" min="5" max="5"/>
  </cols>
  <sheetData>
    <row r="1" ht="36" customHeight="1">
      <c r="A1" s="10" t="inlineStr">
        <is>
          <t xml:space="preserve">  CONTENTS</t>
        </is>
      </c>
    </row>
    <row r="2" ht="10" customHeight="1"/>
    <row r="4" ht="24" customHeight="1">
      <c r="A4" s="11" t="inlineStr">
        <is>
          <t>Section</t>
        </is>
      </c>
      <c r="B4" s="11" t="inlineStr">
        <is>
          <t>Description</t>
        </is>
      </c>
      <c r="C4" s="11" t="inlineStr">
        <is>
          <t>Sheet</t>
        </is>
      </c>
      <c r="D4" s="11" t="inlineStr">
        <is>
          <t>Status</t>
        </is>
      </c>
      <c r="E4" s="11" t="inlineStr"/>
    </row>
    <row r="5" ht="22" customHeight="1">
      <c r="A5" s="12" t="inlineStr"/>
      <c r="B5" s="13" t="inlineStr">
        <is>
          <t>Cover &amp; Project Information</t>
        </is>
      </c>
      <c r="C5" s="14" t="inlineStr">
        <is>
          <t>Cover</t>
        </is>
      </c>
      <c r="D5" s="15" t="inlineStr"/>
      <c r="E5" s="7" t="n"/>
    </row>
    <row r="6" ht="22" customHeight="1">
      <c r="A6" s="16" t="inlineStr"/>
      <c r="B6" s="17" t="inlineStr">
        <is>
          <t>Contents</t>
        </is>
      </c>
      <c r="C6" s="18" t="inlineStr">
        <is>
          <t>Contents</t>
        </is>
      </c>
      <c r="D6" s="19" t="inlineStr"/>
      <c r="E6" s="20" t="n"/>
    </row>
    <row r="7" ht="22" customHeight="1">
      <c r="A7" s="12" t="inlineStr"/>
      <c r="B7" s="13" t="inlineStr">
        <is>
          <t>Indicative Programme  (Gantt)</t>
        </is>
      </c>
      <c r="C7" s="14" t="inlineStr">
        <is>
          <t>Programme</t>
        </is>
      </c>
      <c r="D7" s="15" t="inlineStr">
        <is>
          <t>Information</t>
        </is>
      </c>
      <c r="E7" s="7" t="n"/>
    </row>
    <row r="8" ht="22" customHeight="1">
      <c r="A8" s="16" t="inlineStr"/>
      <c r="B8" s="17" t="inlineStr">
        <is>
          <t>Summary of Tender Pricing</t>
        </is>
      </c>
      <c r="C8" s="18" t="inlineStr">
        <is>
          <t>Summary</t>
        </is>
      </c>
      <c r="D8" s="19" t="inlineStr"/>
      <c r="E8" s="20" t="n"/>
    </row>
    <row r="9" ht="22" customHeight="1">
      <c r="A9" s="12" t="inlineStr">
        <is>
          <t>A</t>
        </is>
      </c>
      <c r="B9" s="13" t="inlineStr">
        <is>
          <t>Preliminaries</t>
        </is>
      </c>
      <c r="C9" s="14" t="inlineStr">
        <is>
          <t>A_Preliminaries</t>
        </is>
      </c>
      <c r="D9" s="15" t="inlineStr">
        <is>
          <t>Contractor priced</t>
        </is>
      </c>
      <c r="E9" s="7" t="n"/>
    </row>
    <row r="10" ht="22" customHeight="1">
      <c r="A10" s="16" t="inlineStr">
        <is>
          <t>B</t>
        </is>
      </c>
      <c r="B10" s="17" t="inlineStr">
        <is>
          <t>ICF Kit Supply</t>
        </is>
      </c>
      <c r="C10" s="18" t="inlineStr">
        <is>
          <t>B_ICF_Supply</t>
        </is>
      </c>
      <c r="D10" s="19" t="inlineStr">
        <is>
          <t>Pre-priced</t>
        </is>
      </c>
      <c r="E10" s="20" t="n"/>
    </row>
    <row r="11" ht="22" customHeight="1">
      <c r="A11" s="12" t="inlineStr">
        <is>
          <t>C</t>
        </is>
      </c>
      <c r="B11" s="13" t="inlineStr">
        <is>
          <t>Concrete Supply, Pump &amp; Placement</t>
        </is>
      </c>
      <c r="C11" s="14" t="inlineStr">
        <is>
          <t>C_Concrete</t>
        </is>
      </c>
      <c r="D11" s="15" t="inlineStr">
        <is>
          <t>Contractor priced</t>
        </is>
      </c>
      <c r="E11" s="7" t="n"/>
    </row>
    <row r="12" ht="22" customHeight="1">
      <c r="A12" s="16" t="inlineStr">
        <is>
          <t>D</t>
        </is>
      </c>
      <c r="B12" s="17" t="inlineStr">
        <is>
          <t>Labour — ICF, Floors &amp; Roofs</t>
        </is>
      </c>
      <c r="C12" s="18" t="inlineStr">
        <is>
          <t>D_Labour</t>
        </is>
      </c>
      <c r="D12" s="19" t="inlineStr">
        <is>
          <t>Contractor priced</t>
        </is>
      </c>
      <c r="E12" s="20" t="n"/>
    </row>
    <row r="13" ht="22" customHeight="1">
      <c r="A13" s="12" t="inlineStr">
        <is>
          <t>F</t>
        </is>
      </c>
      <c r="B13" s="13" t="inlineStr">
        <is>
          <t>Reference Data (informative only)</t>
        </is>
      </c>
      <c r="C13" s="14" t="inlineStr">
        <is>
          <t>F_Reference</t>
        </is>
      </c>
      <c r="D13" s="15" t="inlineStr">
        <is>
          <t>—</t>
        </is>
      </c>
      <c r="E13" s="7" t="n"/>
    </row>
  </sheetData>
  <mergeCells count="1">
    <mergeCell ref="A1:E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s>
  <printOptions horizontalCentered="1"/>
  <pageMargins left="0.5" right="0.5" top="0.6" bottom="0.6" header="0.3" footer="0.3"/>
  <pageSetup orientation="portrait" paperSize="9" fitToHeight="0" fitToWidth="1"/>
  <headerFooter>
    <oddHeader/>
    <oddFooter>&amp;L&amp;9 &amp;K5A6C7DLand to Rear of 1-8 Wesley Terrace, Castleside  ·  ES26-080&amp;C&amp;9 &amp;K5A6C7DPage &amp;P of &amp;N&amp;R&amp;9 &amp;K5A6C7DIssued 19 Oct 2026</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X28"/>
  <sheetViews>
    <sheetView showGridLines="0" workbookViewId="0">
      <selection activeCell="A1" sqref="A1"/>
    </sheetView>
  </sheetViews>
  <sheetFormatPr baseColWidth="8" defaultRowHeight="15"/>
  <cols>
    <col width="12" customWidth="1" min="1" max="1"/>
    <col width="8" customWidth="1" min="2" max="2"/>
    <col width="10" customWidth="1" min="3" max="3"/>
    <col width="10" customWidth="1" min="4" max="4"/>
    <col width="12"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7" max="67"/>
    <col width="1.6" customWidth="1" min="68" max="68"/>
    <col width="1.6" customWidth="1" min="69" max="69"/>
    <col width="1.6" customWidth="1" min="70" max="70"/>
    <col width="1.6" customWidth="1" min="71" max="71"/>
    <col width="1.6" customWidth="1" min="72" max="72"/>
    <col width="1.6" customWidth="1" min="73" max="73"/>
    <col width="1.6" customWidth="1" min="74" max="74"/>
    <col width="1.6" customWidth="1" min="75" max="75"/>
  </cols>
  <sheetData>
    <row r="1" ht="28" customHeight="1">
      <c r="A1" s="21" t="inlineStr">
        <is>
          <t xml:space="preserve">  PROG  ·  INDICATIVE INSTALL PROGRAMME — RESOURCE-LEVELLED, ONE COLUMN PER WORKING DAY</t>
        </is>
      </c>
    </row>
    <row r="2" ht="48" customHeight="1">
      <c r="A2" s="22" t="inlineStr">
        <is>
          <t>Group-by-group sequential build with a staggered start between groups. ICF install + snag + pour cycles, intermediate floors and roof structure are completed before moving on. Resourcing and durations below are indicative and must be validated by site management. Render / external finish is NOT included in this programme.</t>
        </is>
      </c>
    </row>
    <row r="3">
      <c r="F3" s="23" t="inlineStr">
        <is>
          <t>W1</t>
        </is>
      </c>
      <c r="M3" s="23" t="inlineStr">
        <is>
          <t>W2</t>
        </is>
      </c>
      <c r="T3" s="23" t="inlineStr">
        <is>
          <t>W3</t>
        </is>
      </c>
      <c r="AA3" s="23" t="inlineStr">
        <is>
          <t>W4</t>
        </is>
      </c>
      <c r="AH3" s="23" t="inlineStr">
        <is>
          <t>W5</t>
        </is>
      </c>
      <c r="AO3" s="23" t="inlineStr">
        <is>
          <t>W6</t>
        </is>
      </c>
      <c r="AV3" s="23" t="inlineStr">
        <is>
          <t>W7</t>
        </is>
      </c>
      <c r="BC3" s="23" t="inlineStr">
        <is>
          <t>W8</t>
        </is>
      </c>
      <c r="BJ3" s="23" t="inlineStr">
        <is>
          <t>W9</t>
        </is>
      </c>
      <c r="BQ3" s="23" t="inlineStr">
        <is>
          <t>W10</t>
        </is>
      </c>
    </row>
    <row r="4" ht="22" customHeight="1">
      <c r="A4" s="11" t="inlineStr">
        <is>
          <t>Group</t>
        </is>
      </c>
      <c r="B4" s="11" t="inlineStr">
        <is>
          <t>Plots</t>
        </is>
      </c>
      <c r="C4" s="11" t="inlineStr">
        <is>
          <t>Forms</t>
        </is>
      </c>
      <c r="D4" s="11" t="inlineStr">
        <is>
          <t>Weeks</t>
        </is>
      </c>
      <c r="E4" s="11" t="inlineStr">
        <is>
          <t>Start wk</t>
        </is>
      </c>
      <c r="F4" s="24" t="inlineStr">
        <is>
          <t>M</t>
        </is>
      </c>
      <c r="G4" s="24" t="inlineStr">
        <is>
          <t>T</t>
        </is>
      </c>
      <c r="H4" s="24" t="inlineStr">
        <is>
          <t>W</t>
        </is>
      </c>
      <c r="I4" s="24" t="inlineStr">
        <is>
          <t>T</t>
        </is>
      </c>
      <c r="J4" s="24" t="inlineStr">
        <is>
          <t>F</t>
        </is>
      </c>
      <c r="K4" s="24" t="inlineStr">
        <is>
          <t>S</t>
        </is>
      </c>
      <c r="L4" s="24" t="inlineStr">
        <is>
          <t>S</t>
        </is>
      </c>
      <c r="M4" s="24" t="inlineStr">
        <is>
          <t>M</t>
        </is>
      </c>
      <c r="N4" s="24" t="inlineStr">
        <is>
          <t>T</t>
        </is>
      </c>
      <c r="O4" s="24" t="inlineStr">
        <is>
          <t>W</t>
        </is>
      </c>
      <c r="P4" s="24" t="inlineStr">
        <is>
          <t>T</t>
        </is>
      </c>
      <c r="Q4" s="24" t="inlineStr">
        <is>
          <t>F</t>
        </is>
      </c>
      <c r="R4" s="24" t="inlineStr">
        <is>
          <t>S</t>
        </is>
      </c>
      <c r="S4" s="24" t="inlineStr">
        <is>
          <t>S</t>
        </is>
      </c>
      <c r="T4" s="24" t="inlineStr">
        <is>
          <t>M</t>
        </is>
      </c>
      <c r="U4" s="24" t="inlineStr">
        <is>
          <t>T</t>
        </is>
      </c>
      <c r="V4" s="24" t="inlineStr">
        <is>
          <t>W</t>
        </is>
      </c>
      <c r="W4" s="24" t="inlineStr">
        <is>
          <t>T</t>
        </is>
      </c>
      <c r="X4" s="24" t="inlineStr">
        <is>
          <t>F</t>
        </is>
      </c>
      <c r="Y4" s="24" t="inlineStr">
        <is>
          <t>S</t>
        </is>
      </c>
      <c r="Z4" s="24" t="inlineStr">
        <is>
          <t>S</t>
        </is>
      </c>
      <c r="AA4" s="24" t="inlineStr">
        <is>
          <t>M</t>
        </is>
      </c>
      <c r="AB4" s="24" t="inlineStr">
        <is>
          <t>T</t>
        </is>
      </c>
      <c r="AC4" s="24" t="inlineStr">
        <is>
          <t>W</t>
        </is>
      </c>
      <c r="AD4" s="24" t="inlineStr">
        <is>
          <t>T</t>
        </is>
      </c>
      <c r="AE4" s="24" t="inlineStr">
        <is>
          <t>F</t>
        </is>
      </c>
      <c r="AF4" s="24" t="inlineStr">
        <is>
          <t>S</t>
        </is>
      </c>
      <c r="AG4" s="24" t="inlineStr">
        <is>
          <t>S</t>
        </is>
      </c>
      <c r="AH4" s="24" t="inlineStr">
        <is>
          <t>M</t>
        </is>
      </c>
      <c r="AI4" s="24" t="inlineStr">
        <is>
          <t>T</t>
        </is>
      </c>
      <c r="AJ4" s="24" t="inlineStr">
        <is>
          <t>W</t>
        </is>
      </c>
      <c r="AK4" s="24" t="inlineStr">
        <is>
          <t>T</t>
        </is>
      </c>
      <c r="AL4" s="24" t="inlineStr">
        <is>
          <t>F</t>
        </is>
      </c>
      <c r="AM4" s="24" t="inlineStr">
        <is>
          <t>S</t>
        </is>
      </c>
      <c r="AN4" s="24" t="inlineStr">
        <is>
          <t>S</t>
        </is>
      </c>
      <c r="AO4" s="24" t="inlineStr">
        <is>
          <t>M</t>
        </is>
      </c>
      <c r="AP4" s="24" t="inlineStr">
        <is>
          <t>T</t>
        </is>
      </c>
      <c r="AQ4" s="24" t="inlineStr">
        <is>
          <t>W</t>
        </is>
      </c>
      <c r="AR4" s="24" t="inlineStr">
        <is>
          <t>T</t>
        </is>
      </c>
      <c r="AS4" s="24" t="inlineStr">
        <is>
          <t>F</t>
        </is>
      </c>
      <c r="AT4" s="24" t="inlineStr">
        <is>
          <t>S</t>
        </is>
      </c>
      <c r="AU4" s="24" t="inlineStr">
        <is>
          <t>S</t>
        </is>
      </c>
      <c r="AV4" s="24" t="inlineStr">
        <is>
          <t>M</t>
        </is>
      </c>
      <c r="AW4" s="24" t="inlineStr">
        <is>
          <t>T</t>
        </is>
      </c>
      <c r="AX4" s="24" t="inlineStr">
        <is>
          <t>W</t>
        </is>
      </c>
      <c r="AY4" s="24" t="inlineStr">
        <is>
          <t>T</t>
        </is>
      </c>
      <c r="AZ4" s="24" t="inlineStr">
        <is>
          <t>F</t>
        </is>
      </c>
      <c r="BA4" s="24" t="inlineStr">
        <is>
          <t>S</t>
        </is>
      </c>
      <c r="BB4" s="24" t="inlineStr">
        <is>
          <t>S</t>
        </is>
      </c>
      <c r="BC4" s="24" t="inlineStr">
        <is>
          <t>M</t>
        </is>
      </c>
      <c r="BD4" s="24" t="inlineStr">
        <is>
          <t>T</t>
        </is>
      </c>
      <c r="BE4" s="24" t="inlineStr">
        <is>
          <t>W</t>
        </is>
      </c>
      <c r="BF4" s="24" t="inlineStr">
        <is>
          <t>T</t>
        </is>
      </c>
      <c r="BG4" s="24" t="inlineStr">
        <is>
          <t>F</t>
        </is>
      </c>
      <c r="BH4" s="24" t="inlineStr">
        <is>
          <t>S</t>
        </is>
      </c>
      <c r="BI4" s="24" t="inlineStr">
        <is>
          <t>S</t>
        </is>
      </c>
      <c r="BJ4" s="24" t="inlineStr">
        <is>
          <t>M</t>
        </is>
      </c>
      <c r="BK4" s="24" t="inlineStr">
        <is>
          <t>T</t>
        </is>
      </c>
      <c r="BL4" s="24" t="inlineStr">
        <is>
          <t>W</t>
        </is>
      </c>
      <c r="BM4" s="24" t="inlineStr">
        <is>
          <t>T</t>
        </is>
      </c>
      <c r="BN4" s="24" t="inlineStr">
        <is>
          <t>F</t>
        </is>
      </c>
      <c r="BO4" s="24" t="inlineStr">
        <is>
          <t>S</t>
        </is>
      </c>
      <c r="BP4" s="24" t="inlineStr">
        <is>
          <t>S</t>
        </is>
      </c>
      <c r="BQ4" s="24" t="inlineStr">
        <is>
          <t>M</t>
        </is>
      </c>
      <c r="BR4" s="24" t="inlineStr">
        <is>
          <t>T</t>
        </is>
      </c>
      <c r="BS4" s="24" t="inlineStr">
        <is>
          <t>W</t>
        </is>
      </c>
      <c r="BT4" s="24" t="inlineStr">
        <is>
          <t>T</t>
        </is>
      </c>
      <c r="BU4" s="24" t="inlineStr">
        <is>
          <t>F</t>
        </is>
      </c>
      <c r="BV4" s="24" t="inlineStr">
        <is>
          <t>S</t>
        </is>
      </c>
      <c r="BW4" s="24" t="inlineStr">
        <is>
          <t>S</t>
        </is>
      </c>
    </row>
    <row r="5" ht="24" customHeight="1">
      <c r="A5" s="25" t="inlineStr">
        <is>
          <t>Block B01 - HT01 semi pair - plots 01, 02</t>
        </is>
      </c>
      <c r="B5" s="26" t="n">
        <v>2</v>
      </c>
      <c r="C5" s="26" t="n">
        <v>389</v>
      </c>
      <c r="D5" s="26" t="n">
        <v>4</v>
      </c>
      <c r="E5" s="26" t="n">
        <v>1</v>
      </c>
      <c r="F5" s="27" t="n"/>
      <c r="G5" s="27" t="n"/>
      <c r="H5" s="7" t="n"/>
      <c r="I5" s="7" t="n"/>
      <c r="J5" s="28" t="n"/>
      <c r="K5" s="29" t="n"/>
      <c r="L5" s="29" t="n"/>
      <c r="M5" s="30" t="n"/>
      <c r="N5" s="30" t="n"/>
      <c r="O5" s="7" t="n"/>
      <c r="P5" s="7" t="n"/>
      <c r="Q5" s="31" t="n"/>
      <c r="R5" s="7" t="n"/>
      <c r="S5" s="7" t="n"/>
      <c r="T5" s="31" t="n"/>
      <c r="U5" s="28" t="n"/>
      <c r="V5" s="29" t="n"/>
      <c r="W5" s="29" t="n"/>
      <c r="X5" s="32" t="n"/>
      <c r="Y5" s="7" t="n"/>
      <c r="Z5" s="7" t="n"/>
      <c r="AA5" s="32" t="n"/>
      <c r="AB5" s="7" t="n"/>
      <c r="AC5" s="7" t="n"/>
      <c r="AD5" s="7" t="n"/>
      <c r="AE5" s="7" t="n"/>
      <c r="AF5" s="7" t="n"/>
      <c r="AG5" s="7" t="n"/>
      <c r="AH5" s="7" t="n"/>
      <c r="AI5" s="7" t="n"/>
      <c r="AJ5" s="7" t="n"/>
      <c r="AK5" s="7" t="n"/>
      <c r="AL5" s="7" t="n"/>
      <c r="AM5" s="7" t="n"/>
      <c r="AN5" s="7" t="n"/>
      <c r="AO5" s="7" t="n"/>
      <c r="AP5" s="7" t="n"/>
      <c r="AQ5" s="7" t="n"/>
      <c r="AR5" s="7" t="n"/>
      <c r="AS5" s="7" t="n"/>
      <c r="AT5" s="7" t="n"/>
      <c r="AU5" s="7" t="n"/>
      <c r="AV5" s="7" t="n"/>
      <c r="AW5" s="7" t="n"/>
      <c r="AX5" s="7" t="n"/>
      <c r="AY5" s="7" t="n"/>
      <c r="AZ5" s="7" t="n"/>
      <c r="BA5" s="7" t="n"/>
      <c r="BB5" s="7" t="n"/>
      <c r="BC5" s="7" t="n"/>
      <c r="BD5" s="7" t="n"/>
      <c r="BE5" s="7" t="n"/>
      <c r="BF5" s="7" t="n"/>
      <c r="BG5" s="7" t="n"/>
      <c r="BH5" s="7" t="n"/>
      <c r="BI5" s="7" t="n"/>
      <c r="BJ5" s="7" t="n"/>
      <c r="BK5" s="7" t="n"/>
      <c r="BL5" s="7" t="n"/>
      <c r="BM5" s="7" t="n"/>
      <c r="BN5" s="7" t="n"/>
      <c r="BO5" s="7" t="n"/>
      <c r="BP5" s="7" t="n"/>
      <c r="BQ5" s="7" t="n"/>
      <c r="BR5" s="7" t="n"/>
      <c r="BS5" s="7" t="n"/>
      <c r="BT5" s="7" t="n"/>
      <c r="BU5" s="7" t="n"/>
      <c r="BV5" s="7" t="n"/>
      <c r="BW5" s="7" t="n"/>
    </row>
    <row r="6" ht="24" customHeight="1">
      <c r="A6" s="25" t="inlineStr">
        <is>
          <t>Block B02 - HT01 terrace of 3 - plots 03, 04, 05</t>
        </is>
      </c>
      <c r="B6" s="26" t="n">
        <v>3</v>
      </c>
      <c r="C6" s="26" t="n">
        <v>508</v>
      </c>
      <c r="D6" s="26" t="n">
        <v>5</v>
      </c>
      <c r="E6" s="26" t="n">
        <v>1</v>
      </c>
      <c r="F6" s="7" t="n"/>
      <c r="G6" s="7" t="n"/>
      <c r="H6" s="27" t="n"/>
      <c r="I6" s="27" t="n"/>
      <c r="J6" s="7" t="n"/>
      <c r="K6" s="7" t="n"/>
      <c r="L6" s="7" t="n"/>
      <c r="M6" s="28" t="n"/>
      <c r="N6" s="29" t="n"/>
      <c r="O6" s="29" t="n"/>
      <c r="P6" s="30" t="n"/>
      <c r="Q6" s="30" t="n"/>
      <c r="R6" s="7" t="n"/>
      <c r="S6" s="7" t="n"/>
      <c r="T6" s="30" t="n"/>
      <c r="U6" s="7" t="n"/>
      <c r="V6" s="7" t="n"/>
      <c r="W6" s="31" t="n"/>
      <c r="X6" s="31" t="n"/>
      <c r="Y6" s="7" t="n"/>
      <c r="Z6" s="7" t="n"/>
      <c r="AA6" s="31" t="n"/>
      <c r="AB6" s="28" t="n"/>
      <c r="AC6" s="29" t="n"/>
      <c r="AD6" s="29" t="n"/>
      <c r="AE6" s="7" t="n"/>
      <c r="AF6" s="7" t="n"/>
      <c r="AG6" s="7" t="n"/>
      <c r="AH6" s="7" t="n"/>
      <c r="AI6" s="32" t="n"/>
      <c r="AJ6" s="32" t="n"/>
      <c r="AK6" s="32" t="n"/>
      <c r="AL6" s="7" t="n"/>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7" t="n"/>
      <c r="BK6" s="7" t="n"/>
      <c r="BL6" s="7" t="n"/>
      <c r="BM6" s="7" t="n"/>
      <c r="BN6" s="7" t="n"/>
      <c r="BO6" s="7" t="n"/>
      <c r="BP6" s="7" t="n"/>
      <c r="BQ6" s="7" t="n"/>
      <c r="BR6" s="7" t="n"/>
      <c r="BS6" s="7" t="n"/>
      <c r="BT6" s="7" t="n"/>
      <c r="BU6" s="7" t="n"/>
      <c r="BV6" s="7" t="n"/>
      <c r="BW6" s="7" t="n"/>
    </row>
    <row r="7" ht="24" customHeight="1">
      <c r="A7" s="25" t="inlineStr">
        <is>
          <t>Block B03 - HT01 terrace of 3 - plots 06, 07, 08</t>
        </is>
      </c>
      <c r="B7" s="26" t="n">
        <v>3</v>
      </c>
      <c r="C7" s="26" t="n">
        <v>521</v>
      </c>
      <c r="D7" s="26" t="n">
        <v>6</v>
      </c>
      <c r="E7" s="26" t="n">
        <v>1</v>
      </c>
      <c r="F7" s="7" t="n"/>
      <c r="G7" s="7" t="n"/>
      <c r="H7" s="7" t="n"/>
      <c r="I7" s="7" t="n"/>
      <c r="J7" s="27" t="n"/>
      <c r="K7" s="7" t="n"/>
      <c r="L7" s="7" t="n"/>
      <c r="M7" s="27" t="n"/>
      <c r="N7" s="27" t="n"/>
      <c r="O7" s="7" t="n"/>
      <c r="P7" s="7" t="n"/>
      <c r="Q7" s="28" t="n"/>
      <c r="R7" s="29" t="n"/>
      <c r="S7" s="29" t="n"/>
      <c r="T7" s="7" t="n"/>
      <c r="U7" s="30" t="n"/>
      <c r="V7" s="30" t="n"/>
      <c r="W7" s="30" t="n"/>
      <c r="X7" s="7" t="n"/>
      <c r="Y7" s="7" t="n"/>
      <c r="Z7" s="7" t="n"/>
      <c r="AA7" s="7" t="n"/>
      <c r="AB7" s="31" t="n"/>
      <c r="AC7" s="31" t="n"/>
      <c r="AD7" s="7" t="n"/>
      <c r="AE7" s="28" t="n"/>
      <c r="AF7" s="29" t="n"/>
      <c r="AG7" s="29" t="n"/>
      <c r="AH7" s="7" t="n"/>
      <c r="AI7" s="7" t="n"/>
      <c r="AJ7" s="7" t="n"/>
      <c r="AK7" s="7" t="n"/>
      <c r="AL7" s="32" t="n"/>
      <c r="AM7" s="7" t="n"/>
      <c r="AN7" s="7" t="n"/>
      <c r="AO7" s="32" t="n"/>
      <c r="AP7" s="32" t="n"/>
      <c r="AQ7" s="7" t="n"/>
      <c r="AR7" s="7" t="n"/>
      <c r="AS7" s="7" t="n"/>
      <c r="AT7" s="7" t="n"/>
      <c r="AU7" s="7" t="n"/>
      <c r="AV7" s="7" t="n"/>
      <c r="AW7" s="7" t="n"/>
      <c r="AX7" s="7" t="n"/>
      <c r="AY7" s="7" t="n"/>
      <c r="AZ7" s="7" t="n"/>
      <c r="BA7" s="7" t="n"/>
      <c r="BB7" s="7" t="n"/>
      <c r="BC7" s="7" t="n"/>
      <c r="BD7" s="7" t="n"/>
      <c r="BE7" s="7" t="n"/>
      <c r="BF7" s="7" t="n"/>
      <c r="BG7" s="7" t="n"/>
      <c r="BH7" s="7" t="n"/>
      <c r="BI7" s="7" t="n"/>
      <c r="BJ7" s="7" t="n"/>
      <c r="BK7" s="7" t="n"/>
      <c r="BL7" s="7" t="n"/>
      <c r="BM7" s="7" t="n"/>
      <c r="BN7" s="7" t="n"/>
      <c r="BO7" s="7" t="n"/>
      <c r="BP7" s="7" t="n"/>
      <c r="BQ7" s="7" t="n"/>
      <c r="BR7" s="7" t="n"/>
      <c r="BS7" s="7" t="n"/>
      <c r="BT7" s="7" t="n"/>
      <c r="BU7" s="7" t="n"/>
      <c r="BV7" s="7" t="n"/>
      <c r="BW7" s="7" t="n"/>
    </row>
    <row r="8" ht="24" customHeight="1">
      <c r="A8" s="25" t="inlineStr">
        <is>
          <t>Block B04 - HT01 semi pair - plots 09, 10</t>
        </is>
      </c>
      <c r="B8" s="26" t="n">
        <v>2</v>
      </c>
      <c r="C8" s="26" t="n">
        <v>380</v>
      </c>
      <c r="D8" s="26" t="n">
        <v>5</v>
      </c>
      <c r="E8" s="26" t="n">
        <v>2</v>
      </c>
      <c r="F8" s="7" t="n"/>
      <c r="G8" s="7" t="n"/>
      <c r="H8" s="7" t="n"/>
      <c r="I8" s="7" t="n"/>
      <c r="J8" s="7" t="n"/>
      <c r="K8" s="7" t="n"/>
      <c r="L8" s="7" t="n"/>
      <c r="M8" s="7" t="n"/>
      <c r="N8" s="7" t="n"/>
      <c r="O8" s="27" t="n"/>
      <c r="P8" s="27" t="n"/>
      <c r="Q8" s="28" t="n"/>
      <c r="R8" s="29" t="n"/>
      <c r="S8" s="29" t="n"/>
      <c r="T8" s="7" t="n"/>
      <c r="U8" s="7" t="n"/>
      <c r="V8" s="7" t="n"/>
      <c r="W8" s="7" t="n"/>
      <c r="X8" s="7" t="n"/>
      <c r="Y8" s="7" t="n"/>
      <c r="Z8" s="7" t="n"/>
      <c r="AA8" s="7" t="n"/>
      <c r="AB8" s="30" t="n"/>
      <c r="AC8" s="30" t="n"/>
      <c r="AD8" s="7" t="n"/>
      <c r="AE8" s="31" t="n"/>
      <c r="AF8" s="7" t="n"/>
      <c r="AG8" s="7" t="n"/>
      <c r="AH8" s="31" t="n"/>
      <c r="AI8" s="28" t="n"/>
      <c r="AJ8" s="29" t="n"/>
      <c r="AK8" s="29" t="n"/>
      <c r="AL8" s="7" t="n"/>
      <c r="AM8" s="7" t="n"/>
      <c r="AN8" s="7" t="n"/>
      <c r="AO8" s="7" t="n"/>
      <c r="AP8" s="7" t="n"/>
      <c r="AQ8" s="32" t="n"/>
      <c r="AR8" s="32" t="n"/>
      <c r="AS8" s="7" t="n"/>
      <c r="AT8" s="7" t="n"/>
      <c r="AU8" s="7" t="n"/>
      <c r="AV8" s="7" t="n"/>
      <c r="AW8" s="7" t="n"/>
      <c r="AX8" s="7" t="n"/>
      <c r="AY8" s="7" t="n"/>
      <c r="AZ8" s="7" t="n"/>
      <c r="BA8" s="7" t="n"/>
      <c r="BB8" s="7" t="n"/>
      <c r="BC8" s="7" t="n"/>
      <c r="BD8" s="7" t="n"/>
      <c r="BE8" s="7" t="n"/>
      <c r="BF8" s="7" t="n"/>
      <c r="BG8" s="7" t="n"/>
      <c r="BH8" s="7" t="n"/>
      <c r="BI8" s="7" t="n"/>
      <c r="BJ8" s="7" t="n"/>
      <c r="BK8" s="7" t="n"/>
      <c r="BL8" s="7" t="n"/>
      <c r="BM8" s="7" t="n"/>
      <c r="BN8" s="7" t="n"/>
      <c r="BO8" s="7" t="n"/>
      <c r="BP8" s="7" t="n"/>
      <c r="BQ8" s="7" t="n"/>
      <c r="BR8" s="7" t="n"/>
      <c r="BS8" s="7" t="n"/>
      <c r="BT8" s="7" t="n"/>
      <c r="BU8" s="7" t="n"/>
      <c r="BV8" s="7" t="n"/>
      <c r="BW8" s="7" t="n"/>
    </row>
    <row r="9" ht="24" customHeight="1">
      <c r="A9" s="25" t="inlineStr">
        <is>
          <t>Block B05 - HT01 terrace of 3 - plots 11, 12, 13</t>
        </is>
      </c>
      <c r="B9" s="26" t="n">
        <v>3</v>
      </c>
      <c r="C9" s="26" t="n">
        <v>526</v>
      </c>
      <c r="D9" s="26" t="n">
        <v>5</v>
      </c>
      <c r="E9" s="26" t="n">
        <v>3</v>
      </c>
      <c r="F9" s="7" t="n"/>
      <c r="G9" s="7" t="n"/>
      <c r="H9" s="7" t="n"/>
      <c r="I9" s="7" t="n"/>
      <c r="J9" s="7" t="n"/>
      <c r="K9" s="7" t="n"/>
      <c r="L9" s="7" t="n"/>
      <c r="M9" s="7" t="n"/>
      <c r="N9" s="7" t="n"/>
      <c r="O9" s="7" t="n"/>
      <c r="P9" s="7" t="n"/>
      <c r="Q9" s="7" t="n"/>
      <c r="R9" s="7" t="n"/>
      <c r="S9" s="7" t="n"/>
      <c r="T9" s="7" t="n"/>
      <c r="U9" s="27" t="n"/>
      <c r="V9" s="27" t="n"/>
      <c r="W9" s="7" t="n"/>
      <c r="X9" s="28" t="n"/>
      <c r="Y9" s="29" t="n"/>
      <c r="Z9" s="29" t="n"/>
      <c r="AA9" s="7" t="n"/>
      <c r="AB9" s="7" t="n"/>
      <c r="AC9" s="7" t="n"/>
      <c r="AD9" s="30" t="n"/>
      <c r="AE9" s="30" t="n"/>
      <c r="AF9" s="7" t="n"/>
      <c r="AG9" s="7" t="n"/>
      <c r="AH9" s="30" t="n"/>
      <c r="AI9" s="7" t="n"/>
      <c r="AJ9" s="31" t="n"/>
      <c r="AK9" s="31" t="n"/>
      <c r="AL9" s="7" t="n"/>
      <c r="AM9" s="7" t="n"/>
      <c r="AN9" s="7" t="n"/>
      <c r="AO9" s="28" t="n"/>
      <c r="AP9" s="29" t="n"/>
      <c r="AQ9" s="29" t="n"/>
      <c r="AR9" s="7" t="n"/>
      <c r="AS9" s="32" t="n"/>
      <c r="AT9" s="7" t="n"/>
      <c r="AU9" s="7" t="n"/>
      <c r="AV9" s="32" t="n"/>
      <c r="AW9" s="32" t="n"/>
      <c r="AX9" s="7" t="n"/>
      <c r="AY9" s="7" t="n"/>
      <c r="AZ9" s="7" t="n"/>
      <c r="BA9" s="7" t="n"/>
      <c r="BB9" s="7" t="n"/>
      <c r="BC9" s="7" t="n"/>
      <c r="BD9" s="7" t="n"/>
      <c r="BE9" s="7" t="n"/>
      <c r="BF9" s="7" t="n"/>
      <c r="BG9" s="7" t="n"/>
      <c r="BH9" s="7" t="n"/>
      <c r="BI9" s="7" t="n"/>
      <c r="BJ9" s="7" t="n"/>
      <c r="BK9" s="7" t="n"/>
      <c r="BL9" s="7" t="n"/>
      <c r="BM9" s="7" t="n"/>
      <c r="BN9" s="7" t="n"/>
      <c r="BO9" s="7" t="n"/>
      <c r="BP9" s="7" t="n"/>
      <c r="BQ9" s="7" t="n"/>
      <c r="BR9" s="7" t="n"/>
      <c r="BS9" s="7" t="n"/>
      <c r="BT9" s="7" t="n"/>
      <c r="BU9" s="7" t="n"/>
      <c r="BV9" s="7" t="n"/>
      <c r="BW9" s="7" t="n"/>
    </row>
    <row r="10" ht="24" customHeight="1">
      <c r="A10" s="25" t="inlineStr">
        <is>
          <t>Block B06 - HT02 bungalow - plots 14</t>
        </is>
      </c>
      <c r="B10" s="26" t="n">
        <v>1</v>
      </c>
      <c r="C10" s="26" t="n">
        <v>122</v>
      </c>
      <c r="D10" s="26" t="n">
        <v>4</v>
      </c>
      <c r="E10" s="26" t="n">
        <v>4</v>
      </c>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27" t="n"/>
      <c r="AE10" s="7" t="n"/>
      <c r="AF10" s="7" t="n"/>
      <c r="AG10" s="7" t="n"/>
      <c r="AH10" s="28" t="n"/>
      <c r="AI10" s="29" t="n"/>
      <c r="AJ10" s="29" t="n"/>
      <c r="AK10" s="7" t="n"/>
      <c r="AL10" s="7" t="n"/>
      <c r="AM10" s="7" t="n"/>
      <c r="AN10" s="7" t="n"/>
      <c r="AO10" s="7" t="n"/>
      <c r="AP10" s="7" t="n"/>
      <c r="AQ10" s="7" t="n"/>
      <c r="AR10" s="7" t="n"/>
      <c r="AS10" s="7" t="n"/>
      <c r="AT10" s="7" t="n"/>
      <c r="AU10" s="7" t="n"/>
      <c r="AV10" s="7" t="n"/>
      <c r="AW10" s="7" t="n"/>
      <c r="AX10" s="32" t="n"/>
      <c r="AY10" s="7" t="n"/>
      <c r="AZ10" s="7" t="n"/>
      <c r="BA10" s="7" t="n"/>
      <c r="BB10" s="7" t="n"/>
      <c r="BC10" s="7" t="n"/>
      <c r="BD10" s="7" t="n"/>
      <c r="BE10" s="7" t="n"/>
      <c r="BF10" s="7" t="n"/>
      <c r="BG10" s="7" t="n"/>
      <c r="BH10" s="7" t="n"/>
      <c r="BI10" s="7" t="n"/>
      <c r="BJ10" s="7" t="n"/>
      <c r="BK10" s="7" t="n"/>
      <c r="BL10" s="7" t="n"/>
      <c r="BM10" s="7" t="n"/>
      <c r="BN10" s="7" t="n"/>
      <c r="BO10" s="7" t="n"/>
      <c r="BP10" s="7" t="n"/>
      <c r="BQ10" s="7" t="n"/>
      <c r="BR10" s="7" t="n"/>
      <c r="BS10" s="7" t="n"/>
      <c r="BT10" s="7" t="n"/>
      <c r="BU10" s="7" t="n"/>
      <c r="BV10" s="7" t="n"/>
      <c r="BW10" s="7" t="n"/>
    </row>
    <row r="11" ht="24" customHeight="1">
      <c r="A11" s="25" t="inlineStr">
        <is>
          <t>Block B07 - HT02 bungalow - plots 15</t>
        </is>
      </c>
      <c r="B11" s="26" t="n">
        <v>1</v>
      </c>
      <c r="C11" s="26" t="n">
        <v>129</v>
      </c>
      <c r="D11" s="26" t="n">
        <v>3</v>
      </c>
      <c r="E11" s="26" t="n">
        <v>5</v>
      </c>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27" t="n"/>
      <c r="AJ11" s="7" t="n"/>
      <c r="AK11" s="7" t="n"/>
      <c r="AL11" s="28" t="n"/>
      <c r="AM11" s="29" t="n"/>
      <c r="AN11" s="29" t="n"/>
      <c r="AO11" s="7" t="n"/>
      <c r="AP11" s="7" t="n"/>
      <c r="AQ11" s="7" t="n"/>
      <c r="AR11" s="7" t="n"/>
      <c r="AS11" s="7" t="n"/>
      <c r="AT11" s="7" t="n"/>
      <c r="AU11" s="7" t="n"/>
      <c r="AV11" s="7" t="n"/>
      <c r="AW11" s="7" t="n"/>
      <c r="AX11" s="7" t="n"/>
      <c r="AY11" s="32" t="n"/>
      <c r="AZ11" s="7" t="n"/>
      <c r="BA11" s="7" t="n"/>
      <c r="BB11" s="7" t="n"/>
      <c r="BC11" s="7" t="n"/>
      <c r="BD11" s="7" t="n"/>
      <c r="BE11" s="7" t="n"/>
      <c r="BF11" s="7" t="n"/>
      <c r="BG11" s="7" t="n"/>
      <c r="BH11" s="7" t="n"/>
      <c r="BI11" s="7" t="n"/>
      <c r="BJ11" s="7" t="n"/>
      <c r="BK11" s="7" t="n"/>
      <c r="BL11" s="7" t="n"/>
      <c r="BM11" s="7" t="n"/>
      <c r="BN11" s="7" t="n"/>
      <c r="BO11" s="7" t="n"/>
      <c r="BP11" s="7" t="n"/>
      <c r="BQ11" s="7" t="n"/>
      <c r="BR11" s="7" t="n"/>
      <c r="BS11" s="7" t="n"/>
      <c r="BT11" s="7" t="n"/>
      <c r="BU11" s="7" t="n"/>
      <c r="BV11" s="7" t="n"/>
      <c r="BW11" s="7" t="n"/>
    </row>
    <row r="12" ht="24" customHeight="1">
      <c r="A12" s="25" t="inlineStr">
        <is>
          <t>Block B08 - HT01 terrace of 3 - plots 16, 17, 18</t>
        </is>
      </c>
      <c r="B12" s="26" t="n">
        <v>3</v>
      </c>
      <c r="C12" s="26" t="n">
        <v>518</v>
      </c>
      <c r="D12" s="26" t="n">
        <v>6</v>
      </c>
      <c r="E12" s="26" t="n">
        <v>5</v>
      </c>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27" t="n"/>
      <c r="AM12" s="7" t="n"/>
      <c r="AN12" s="7" t="n"/>
      <c r="AO12" s="27" t="n"/>
      <c r="AP12" s="27" t="n"/>
      <c r="AQ12" s="7" t="n"/>
      <c r="AR12" s="7" t="n"/>
      <c r="AS12" s="28" t="n"/>
      <c r="AT12" s="29" t="n"/>
      <c r="AU12" s="29" t="n"/>
      <c r="AV12" s="7" t="n"/>
      <c r="AW12" s="7" t="n"/>
      <c r="AX12" s="7" t="n"/>
      <c r="AY12" s="7" t="n"/>
      <c r="AZ12" s="30" t="n"/>
      <c r="BA12" s="7" t="n"/>
      <c r="BB12" s="7" t="n"/>
      <c r="BC12" s="30" t="n"/>
      <c r="BD12" s="30" t="n"/>
      <c r="BE12" s="31" t="n"/>
      <c r="BF12" s="31" t="n"/>
      <c r="BG12" s="7" t="n"/>
      <c r="BH12" s="7" t="n"/>
      <c r="BI12" s="7" t="n"/>
      <c r="BJ12" s="28" t="n"/>
      <c r="BK12" s="29" t="n"/>
      <c r="BL12" s="29" t="n"/>
      <c r="BM12" s="32" t="n"/>
      <c r="BN12" s="32" t="n"/>
      <c r="BO12" s="7" t="n"/>
      <c r="BP12" s="7" t="n"/>
      <c r="BQ12" s="32" t="n"/>
      <c r="BR12" s="7" t="n"/>
      <c r="BS12" s="7" t="n"/>
      <c r="BT12" s="7" t="n"/>
      <c r="BU12" s="7" t="n"/>
      <c r="BV12" s="7" t="n"/>
      <c r="BW12" s="7" t="n"/>
    </row>
    <row r="14">
      <c r="A14" s="33" t="inlineStr">
        <is>
          <t>LEGEND</t>
        </is>
      </c>
    </row>
    <row r="15" ht="18" customHeight="1">
      <c r="A15" s="7" t="n"/>
      <c r="B15" s="27" t="inlineStr"/>
      <c r="C15" s="13" t="inlineStr">
        <is>
          <t>ICF walls — FB + L1 lifts installed together (erection, snag &amp; pour)</t>
        </is>
      </c>
      <c r="D15" s="7" t="n"/>
      <c r="E15" s="7" t="n"/>
      <c r="F15" s="7" t="n"/>
      <c r="G15" s="7" t="n"/>
      <c r="H15" s="7" t="n"/>
    </row>
    <row r="16" ht="18" customHeight="1">
      <c r="A16" s="7" t="n"/>
      <c r="B16" s="31" t="inlineStr"/>
      <c r="C16" s="13" t="inlineStr">
        <is>
          <t>ICF walls — each lift above the first, once the floor below it is in</t>
        </is>
      </c>
      <c r="D16" s="7" t="n"/>
      <c r="E16" s="7" t="n"/>
      <c r="F16" s="7" t="n"/>
      <c r="G16" s="7" t="n"/>
      <c r="H16" s="7" t="n"/>
    </row>
    <row r="17" ht="18" customHeight="1">
      <c r="A17" s="7" t="n"/>
      <c r="B17" s="28" t="inlineStr"/>
      <c r="C17" s="13" t="inlineStr">
        <is>
          <t>Concrete pour — 1 day per lift, ICF crew attends, pump on site</t>
        </is>
      </c>
      <c r="D17" s="7" t="n"/>
      <c r="E17" s="7" t="n"/>
      <c r="F17" s="7" t="n"/>
      <c r="G17" s="7" t="n"/>
      <c r="H17" s="7" t="n"/>
    </row>
    <row r="18" ht="18" customHeight="1">
      <c r="A18" s="7" t="n"/>
      <c r="B18" s="29" t="inlineStr"/>
      <c r="C18" s="13" t="inlineStr">
        <is>
          <t>Curing — pours held to Fridays where possible so the 2 curing days fall on the weekend; a mid-week pour cures 2 working days</t>
        </is>
      </c>
      <c r="D18" s="7" t="n"/>
      <c r="E18" s="7" t="n"/>
      <c r="F18" s="7" t="n"/>
      <c r="G18" s="7" t="n"/>
      <c r="H18" s="7" t="n"/>
    </row>
    <row r="19" ht="18" customHeight="1">
      <c r="A19" s="7" t="n"/>
      <c r="B19" s="30" t="inlineStr"/>
      <c r="C19" s="13" t="inlineStr">
        <is>
          <t>Floor structure — one per intermediate floor (FF, SF …), between wall lifts</t>
        </is>
      </c>
      <c r="D19" s="7" t="n"/>
      <c r="E19" s="7" t="n"/>
      <c r="F19" s="7" t="n"/>
      <c r="G19" s="7" t="n"/>
      <c r="H19" s="7" t="n"/>
    </row>
    <row r="20" ht="18" customHeight="1">
      <c r="A20" s="7" t="n"/>
      <c r="B20" s="32" t="inlineStr"/>
      <c r="C20" s="13" t="inlineStr">
        <is>
          <t>Roof structure (all-timber, trusses + rafters)</t>
        </is>
      </c>
      <c r="D20" s="7" t="n"/>
      <c r="E20" s="7" t="n"/>
      <c r="F20" s="7" t="n"/>
      <c r="G20" s="7" t="n"/>
      <c r="H20" s="7" t="n"/>
    </row>
    <row r="22" ht="20" customHeight="1">
      <c r="A22" s="34" t="inlineStr">
        <is>
          <t xml:space="preserve">  RESOURCING</t>
        </is>
      </c>
    </row>
    <row r="23" ht="22" customHeight="1">
      <c r="A23" s="35" t="inlineStr">
        <is>
          <t>•  1 ICF crews of 8 trained installers (each crew = 2 four-man gang-equivalents) erect the wall lifts, moving to the next ready block while a floor is fitted; 1 joinery crew of 3 fits every intermediate floor and roof (Joinery at 1 day per plot for each floor and 1 day per plot for each roof (Tom 19.10.26).). Programme is resource-levelled day by day (white = block waiting for a crew).</t>
        </is>
      </c>
    </row>
    <row r="24" ht="22" customHeight="1">
      <c r="A24" s="35" t="inlineStr">
        <is>
          <t>•  Total ICF site programme: 10 working weeks (ICF erection, floors and roofs). Section A Preliminaries are quantified against this 10-week programme.</t>
        </is>
      </c>
    </row>
    <row r="25" ht="22" customHeight="1">
      <c r="A25" s="35" t="inlineStr">
        <is>
          <t>•  EXTERNAL RENDER / FINISH IS EXCLUDED from this BOQ and this programme. Where a render system is later specified, allow a separate workstream — per BBA guidance, render cannot begin until the concrete core has cured for a minimum of 28 days after the final pour.</t>
        </is>
      </c>
    </row>
    <row r="26" ht="22" customHeight="1">
      <c r="A26" s="35" t="inlineStr">
        <is>
          <t>•  Concrete pump booked on the pour days for each group (see Section C).</t>
        </is>
      </c>
    </row>
    <row r="27" ht="22" customHeight="1">
      <c r="A27" s="35" t="inlineStr">
        <is>
          <t>•  Lead time for BuildEase Pre-Cut Service: 5–6 weeks from order placement; procurement runs in parallel with mobilisation.</t>
        </is>
      </c>
    </row>
    <row r="28" ht="22" customHeight="1">
      <c r="A28" s="35" t="inlineStr">
        <is>
          <t>•  Programme estimates are provided in good faith and must be verified by the project / site management team.</t>
        </is>
      </c>
    </row>
  </sheetData>
  <mergeCells count="25">
    <mergeCell ref="C16:H16"/>
    <mergeCell ref="M3:S3"/>
    <mergeCell ref="A25:BX25"/>
    <mergeCell ref="AA3:AG3"/>
    <mergeCell ref="BJ3:BP3"/>
    <mergeCell ref="A27:BX27"/>
    <mergeCell ref="A26:BX26"/>
    <mergeCell ref="A2:BX2"/>
    <mergeCell ref="T3:Z3"/>
    <mergeCell ref="A23:BX23"/>
    <mergeCell ref="AH3:AN3"/>
    <mergeCell ref="C17:H17"/>
    <mergeCell ref="A22:BX22"/>
    <mergeCell ref="C19:H19"/>
    <mergeCell ref="F3:L3"/>
    <mergeCell ref="A28:BX28"/>
    <mergeCell ref="AO3:AU3"/>
    <mergeCell ref="AV3:BB3"/>
    <mergeCell ref="C18:H18"/>
    <mergeCell ref="C15:H15"/>
    <mergeCell ref="A24:BX24"/>
    <mergeCell ref="A1:BX1"/>
    <mergeCell ref="BC3:BI3"/>
    <mergeCell ref="C20:H20"/>
    <mergeCell ref="BQ3:BW3"/>
  </mergeCells>
  <printOptions horizontalCentered="1"/>
  <pageMargins left="0.5" right="0.5" top="0.6" bottom="0.6" header="0.3" footer="0.3"/>
  <pageSetup orientation="landscape" paperSize="9" fitToHeight="0" fitToWidth="1"/>
  <headerFooter>
    <oddHeader/>
    <oddFooter>&amp;L&amp;9 &amp;K5A6C7DLand to Rear of 1-8 Wesley Terrace, Castleside  ·  ES26-080&amp;C&amp;9 &amp;K5A6C7DPage &amp;P of &amp;N&amp;R&amp;9 &amp;K5A6C7DIssued 19 Oct 2026</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1"/>
  <sheetViews>
    <sheetView showGridLines="0" workbookViewId="0">
      <selection activeCell="A1" sqref="A1"/>
    </sheetView>
  </sheetViews>
  <sheetFormatPr baseColWidth="8" defaultRowHeight="15"/>
  <cols>
    <col width="10" customWidth="1" min="1" max="1"/>
    <col width="60" customWidth="1" min="2" max="2"/>
    <col width="18" customWidth="1" min="3" max="3"/>
    <col width="20" customWidth="1" min="4" max="4"/>
    <col width="20" customWidth="1" min="5" max="5"/>
    <col width="12" customWidth="1" min="6" max="6"/>
  </cols>
  <sheetData>
    <row r="1" ht="36" customHeight="1">
      <c r="A1" s="10" t="inlineStr">
        <is>
          <t xml:space="preserve">  SUMMARY OF TENDER PRICING</t>
        </is>
      </c>
    </row>
    <row r="2" ht="8" customHeight="1"/>
    <row r="3" ht="36" customHeight="1">
      <c r="A3" s="22" t="inlineStr">
        <is>
          <t>Section totals are carried forward from each Bill section. Pre-priced columns show values from the associated Tremco CPG quotation; contractor-priced columns populate automatically when rates are entered in the section sheets. This BOQ excludes external render.</t>
        </is>
      </c>
    </row>
    <row r="4"/>
    <row r="5" ht="24" customHeight="1">
      <c r="A5" s="11" t="inlineStr">
        <is>
          <t>Section</t>
        </is>
      </c>
      <c r="B5" s="11" t="inlineStr">
        <is>
          <t>Description</t>
        </is>
      </c>
      <c r="C5" s="11" t="inlineStr">
        <is>
          <t>Pre-priced (£)</t>
        </is>
      </c>
      <c r="D5" s="11" t="inlineStr">
        <is>
          <t>Contractor-priced (£)</t>
        </is>
      </c>
      <c r="E5" s="11" t="inlineStr">
        <is>
          <t>Section Total (£)</t>
        </is>
      </c>
      <c r="F5" s="11" t="inlineStr"/>
    </row>
    <row r="6" ht="26" customHeight="1">
      <c r="A6" s="36" t="inlineStr">
        <is>
          <t>A</t>
        </is>
      </c>
      <c r="B6" s="13" t="inlineStr">
        <is>
          <t>Preliminaries</t>
        </is>
      </c>
      <c r="C6" s="37" t="inlineStr"/>
      <c r="D6" s="37">
        <f>'A_Preliminaries'!F1000</f>
        <v/>
      </c>
      <c r="E6" s="38">
        <f>IF(ISNUMBER(C6),C6,0)+IF(ISNUMBER(D6),D6,0)</f>
        <v/>
      </c>
      <c r="F6" s="7" t="n"/>
    </row>
    <row r="7" ht="26" customHeight="1">
      <c r="A7" s="36" t="inlineStr">
        <is>
          <t>B</t>
        </is>
      </c>
      <c r="B7" s="13" t="inlineStr">
        <is>
          <t>ICF Kit Supply</t>
        </is>
      </c>
      <c r="C7" s="37" t="n">
        <v>196202.12</v>
      </c>
      <c r="D7" s="37" t="inlineStr"/>
      <c r="E7" s="38">
        <f>IF(ISNUMBER(C7),C7,0)+IF(ISNUMBER(D7),D7,0)</f>
        <v/>
      </c>
      <c r="F7" s="7" t="n"/>
    </row>
    <row r="8" ht="26" customHeight="1">
      <c r="A8" s="36" t="inlineStr">
        <is>
          <t>C</t>
        </is>
      </c>
      <c r="B8" s="13" t="inlineStr">
        <is>
          <t>Concrete Supply, Pump &amp; Placement</t>
        </is>
      </c>
      <c r="C8" s="37" t="inlineStr"/>
      <c r="D8" s="37">
        <f>'C_Concrete'!F1000</f>
        <v/>
      </c>
      <c r="E8" s="38">
        <f>IF(ISNUMBER(C8),C8,0)+IF(ISNUMBER(D8),D8,0)</f>
        <v/>
      </c>
      <c r="F8" s="7" t="n"/>
    </row>
    <row r="9" ht="26" customHeight="1">
      <c r="A9" s="36" t="inlineStr">
        <is>
          <t>D</t>
        </is>
      </c>
      <c r="B9" s="13" t="inlineStr">
        <is>
          <t>Labour — ICF, Floors &amp; Roofs</t>
        </is>
      </c>
      <c r="C9" s="37" t="inlineStr"/>
      <c r="D9" s="37">
        <f>'D_Labour'!F1000</f>
        <v/>
      </c>
      <c r="E9" s="38">
        <f>IF(ISNUMBER(C9),C9,0)+IF(ISNUMBER(D9),D9,0)</f>
        <v/>
      </c>
      <c r="F9" s="7" t="n"/>
    </row>
    <row r="10"/>
    <row r="11" ht="28" customHeight="1">
      <c r="A11" s="39" t="n"/>
      <c r="B11" s="40" t="inlineStr">
        <is>
          <t>NET TOTAL  (excluding VAT)</t>
        </is>
      </c>
      <c r="C11" s="41">
        <f>SUM(C6:C9)</f>
        <v/>
      </c>
      <c r="D11" s="41">
        <f>SUM(D6:D9)</f>
        <v/>
      </c>
      <c r="E11" s="41">
        <f>SUM(E6:E9)</f>
        <v/>
      </c>
      <c r="F11" s="39" t="n"/>
    </row>
    <row r="12" ht="24" customHeight="1">
      <c r="A12" s="7" t="n"/>
      <c r="B12" s="13" t="inlineStr">
        <is>
          <t>VAT  @ 20%</t>
        </is>
      </c>
      <c r="C12" s="7" t="n"/>
      <c r="D12" s="7" t="n"/>
      <c r="E12" s="37">
        <f>E11*0.20</f>
        <v/>
      </c>
      <c r="F12" s="7" t="n"/>
    </row>
    <row r="13" ht="32" customHeight="1">
      <c r="A13" s="42" t="n"/>
      <c r="B13" s="43" t="inlineStr">
        <is>
          <t>GRAND TOTAL  (inclusive of VAT)</t>
        </is>
      </c>
      <c r="C13" s="42" t="n"/>
      <c r="D13" s="42" t="n"/>
      <c r="E13" s="44">
        <f>E11+E12</f>
        <v/>
      </c>
      <c r="F13" s="42" t="n"/>
    </row>
    <row r="17">
      <c r="A17" s="45" t="inlineStr">
        <is>
          <t>SIGNATURES</t>
        </is>
      </c>
    </row>
    <row r="19" ht="32" customHeight="1">
      <c r="A19" s="25" t="inlineStr">
        <is>
          <t>Priced by</t>
        </is>
      </c>
      <c r="B19" s="7" t="n"/>
      <c r="C19" s="7" t="n"/>
      <c r="D19" s="7" t="n"/>
      <c r="E19" s="7" t="n"/>
      <c r="F19" s="7" t="n"/>
    </row>
    <row r="20" ht="32" customHeight="1">
      <c r="A20" s="25" t="inlineStr">
        <is>
          <t>Tendered by</t>
        </is>
      </c>
      <c r="B20" s="7" t="n"/>
      <c r="C20" s="7" t="n"/>
      <c r="D20" s="7" t="n"/>
      <c r="E20" s="7" t="n"/>
      <c r="F20" s="7" t="n"/>
    </row>
    <row r="21" ht="32" customHeight="1">
      <c r="A21" s="25" t="inlineStr">
        <is>
          <t>Approved by</t>
        </is>
      </c>
      <c r="B21" s="7" t="n"/>
      <c r="C21" s="7" t="n"/>
      <c r="D21" s="7" t="n"/>
      <c r="E21" s="7" t="n"/>
      <c r="F21" s="7" t="n"/>
    </row>
  </sheetData>
  <mergeCells count="3">
    <mergeCell ref="A3:F3"/>
    <mergeCell ref="A1:F1"/>
    <mergeCell ref="A17:F17"/>
  </mergeCells>
  <printOptions horizontalCentered="1"/>
  <pageMargins left="0.5" right="0.5" top="0.6" bottom="0.6" header="0.3" footer="0.3"/>
  <pageSetup orientation="portrait" paperSize="9" fitToHeight="0" fitToWidth="1"/>
  <headerFooter>
    <oddHeader/>
    <oddFooter>&amp;L&amp;9 &amp;K5A6C7DLand to Rear of 1-8 Wesley Terrace, Castleside  ·  ES26-080&amp;C&amp;9 &amp;K5A6C7DPage &amp;P of &amp;N&amp;R&amp;9 &amp;K5A6C7DIssued 19 Oct 2026</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000"/>
  <sheetViews>
    <sheetView showGridLines="0" workbookViewId="0">
      <pane ySplit="4" topLeftCell="A5" activePane="bottomLeft" state="frozen"/>
      <selection pane="bottomLeft" activeCell="A1" sqref="A1"/>
    </sheetView>
  </sheetViews>
  <sheetFormatPr baseColWidth="8" defaultRowHeight="15"/>
  <cols>
    <col width="8" customWidth="1" min="1" max="1"/>
    <col width="56" customWidth="1" min="2" max="2"/>
    <col width="10" customWidth="1" min="3" max="3"/>
    <col width="14" customWidth="1" min="4" max="4"/>
    <col width="14" customWidth="1" min="5" max="5"/>
    <col width="16" customWidth="1" min="6" max="6"/>
  </cols>
  <sheetData>
    <row r="1" ht="28" customHeight="1">
      <c r="A1" s="21" t="inlineStr">
        <is>
          <t xml:space="preserve">  A  ·  PRELIMINARIES</t>
        </is>
      </c>
    </row>
    <row r="2" ht="30" customHeight="1">
      <c r="A2" s="22" t="inlineStr">
        <is>
          <t>Items priced per working week against the site programme total of 10 weeks (see Programme sheet). Quantities are pre-populated; the contractor inserts the weekly rate.</t>
        </is>
      </c>
    </row>
    <row r="4" ht="24" customHeight="1">
      <c r="A4" s="11" t="inlineStr">
        <is>
          <t>Ref</t>
        </is>
      </c>
      <c r="B4" s="11" t="inlineStr">
        <is>
          <t>Description</t>
        </is>
      </c>
      <c r="C4" s="11" t="inlineStr">
        <is>
          <t>Unit</t>
        </is>
      </c>
      <c r="D4" s="11" t="inlineStr">
        <is>
          <t>Qty</t>
        </is>
      </c>
      <c r="E4" s="11" t="inlineStr">
        <is>
          <t>Rate (£)</t>
        </is>
      </c>
      <c r="F4" s="11" t="inlineStr">
        <is>
          <t>Total (£)</t>
        </is>
      </c>
    </row>
    <row r="5">
      <c r="A5" s="46" t="inlineStr">
        <is>
          <t>A.1</t>
        </is>
      </c>
      <c r="B5" s="47" t="inlineStr">
        <is>
          <t>Site set-up, fencing, signage, induction &amp; welfare establishment</t>
        </is>
      </c>
      <c r="C5" s="46" t="inlineStr">
        <is>
          <t>item</t>
        </is>
      </c>
      <c r="D5" s="48" t="n">
        <v>1</v>
      </c>
      <c r="E5" s="49" t="n"/>
      <c r="F5" s="37">
        <f>IF(AND(ISNUMBER(D5),ISNUMBER(E5)),D5*E5,0)</f>
        <v/>
      </c>
    </row>
    <row r="6">
      <c r="A6" s="50" t="inlineStr">
        <is>
          <t>A.2</t>
        </is>
      </c>
      <c r="B6" s="51" t="inlineStr">
        <is>
          <t>Welfare facilities — canteen, drying, toilets (hire)</t>
        </is>
      </c>
      <c r="C6" s="50" t="inlineStr">
        <is>
          <t>wk</t>
        </is>
      </c>
      <c r="D6" s="52" t="n">
        <v>10</v>
      </c>
      <c r="E6" s="49" t="n"/>
      <c r="F6" s="53">
        <f>IF(AND(ISNUMBER(D6),ISNUMBER(E6)),D6*E6,0)</f>
        <v/>
      </c>
    </row>
    <row r="7">
      <c r="A7" s="46" t="inlineStr">
        <is>
          <t>A.3</t>
        </is>
      </c>
      <c r="B7" s="47" t="inlineStr">
        <is>
          <t>Contract management &amp; site supervision</t>
        </is>
      </c>
      <c r="C7" s="46" t="inlineStr">
        <is>
          <t>wk</t>
        </is>
      </c>
      <c r="D7" s="48" t="n">
        <v>10</v>
      </c>
      <c r="E7" s="49" t="n"/>
      <c r="F7" s="37">
        <f>IF(AND(ISNUMBER(D7),ISNUMBER(E7)),D7*E7,0)</f>
        <v/>
      </c>
    </row>
    <row r="8">
      <c r="A8" s="50" t="inlineStr">
        <is>
          <t>A.4</t>
        </is>
      </c>
      <c r="B8" s="51" t="inlineStr">
        <is>
          <t>Health &amp; Safety, RAMS, CDM consultancy</t>
        </is>
      </c>
      <c r="C8" s="50" t="inlineStr">
        <is>
          <t>wk</t>
        </is>
      </c>
      <c r="D8" s="52" t="n">
        <v>10</v>
      </c>
      <c r="E8" s="49" t="n"/>
      <c r="F8" s="53">
        <f>IF(AND(ISNUMBER(D8),ISNUMBER(E8)),D8*E8,0)</f>
        <v/>
      </c>
    </row>
    <row r="9">
      <c r="A9" s="46" t="inlineStr">
        <is>
          <t>A.5</t>
        </is>
      </c>
      <c r="B9" s="47" t="inlineStr">
        <is>
          <t>Public liability and contract works insurance</t>
        </is>
      </c>
      <c r="C9" s="46" t="inlineStr">
        <is>
          <t>item</t>
        </is>
      </c>
      <c r="D9" s="48" t="n">
        <v>1</v>
      </c>
      <c r="E9" s="49" t="n"/>
      <c r="F9" s="37">
        <f>IF(AND(ISNUMBER(D9),ISNUMBER(E9)),D9*E9,0)</f>
        <v/>
      </c>
    </row>
    <row r="10">
      <c r="A10" s="50" t="inlineStr">
        <is>
          <t>A.6</t>
        </is>
      </c>
      <c r="B10" s="51" t="inlineStr">
        <is>
          <t>Scaffolding — independent access for ICF erection</t>
        </is>
      </c>
      <c r="C10" s="50" t="inlineStr">
        <is>
          <t>wk</t>
        </is>
      </c>
      <c r="D10" s="52" t="n">
        <v>10</v>
      </c>
      <c r="E10" s="49" t="n"/>
      <c r="F10" s="53">
        <f>IF(AND(ISNUMBER(D10),ISNUMBER(E10)),D10*E10,0)</f>
        <v/>
      </c>
    </row>
    <row r="11">
      <c r="A11" s="46" t="inlineStr">
        <is>
          <t>A.7</t>
        </is>
      </c>
      <c r="B11" s="47" t="inlineStr">
        <is>
          <t>Plant hire — telehandler / forklift for offload &amp; ICF moves</t>
        </is>
      </c>
      <c r="C11" s="46" t="inlineStr">
        <is>
          <t>wk</t>
        </is>
      </c>
      <c r="D11" s="48" t="n">
        <v>10</v>
      </c>
      <c r="E11" s="49" t="n"/>
      <c r="F11" s="37">
        <f>IF(AND(ISNUMBER(D11),ISNUMBER(E11)),D11*E11,0)</f>
        <v/>
      </c>
    </row>
    <row r="12">
      <c r="A12" s="50" t="inlineStr">
        <is>
          <t>A.8</t>
        </is>
      </c>
      <c r="B12" s="51" t="inlineStr">
        <is>
          <t>Plant hire — small tools, generators, power &amp; lighting</t>
        </is>
      </c>
      <c r="C12" s="50" t="inlineStr">
        <is>
          <t>wk</t>
        </is>
      </c>
      <c r="D12" s="52" t="n">
        <v>10</v>
      </c>
      <c r="E12" s="49" t="n"/>
      <c r="F12" s="53">
        <f>IF(AND(ISNUMBER(D12),ISNUMBER(E12)),D12*E12,0)</f>
        <v/>
      </c>
    </row>
    <row r="13">
      <c r="A13" s="46" t="inlineStr">
        <is>
          <t>A.9</t>
        </is>
      </c>
      <c r="B13" s="47" t="inlineStr">
        <is>
          <t>Hoarding / site enclosure / security</t>
        </is>
      </c>
      <c r="C13" s="46" t="inlineStr">
        <is>
          <t>wk</t>
        </is>
      </c>
      <c r="D13" s="48" t="n">
        <v>10</v>
      </c>
      <c r="E13" s="49" t="n"/>
      <c r="F13" s="37">
        <f>IF(AND(ISNUMBER(D13),ISNUMBER(E13)),D13*E13,0)</f>
        <v/>
      </c>
    </row>
    <row r="14">
      <c r="A14" s="50" t="inlineStr">
        <is>
          <t>A.10</t>
        </is>
      </c>
      <c r="B14" s="51" t="inlineStr">
        <is>
          <t>Temporary services — water, power, lighting (hire)</t>
        </is>
      </c>
      <c r="C14" s="50" t="inlineStr">
        <is>
          <t>wk</t>
        </is>
      </c>
      <c r="D14" s="52" t="n">
        <v>10</v>
      </c>
      <c r="E14" s="49" t="n"/>
      <c r="F14" s="53">
        <f>IF(AND(ISNUMBER(D14),ISNUMBER(E14)),D14*E14,0)</f>
        <v/>
      </c>
    </row>
    <row r="15">
      <c r="A15" s="46" t="inlineStr">
        <is>
          <t>A.11</t>
        </is>
      </c>
      <c r="B15" s="47" t="inlineStr">
        <is>
          <t>Site clean, waste management &amp; skip rotation</t>
        </is>
      </c>
      <c r="C15" s="46" t="inlineStr">
        <is>
          <t>wk</t>
        </is>
      </c>
      <c r="D15" s="48" t="n">
        <v>10</v>
      </c>
      <c r="E15" s="49" t="n"/>
      <c r="F15" s="37">
        <f>IF(AND(ISNUMBER(D15),ISNUMBER(E15)),D15*E15,0)</f>
        <v/>
      </c>
    </row>
    <row r="16">
      <c r="A16" s="50" t="inlineStr">
        <is>
          <t>A.12</t>
        </is>
      </c>
      <c r="B16" s="51" t="inlineStr">
        <is>
          <t>Setting out and surveying — engineer's level checks</t>
        </is>
      </c>
      <c r="C16" s="50" t="inlineStr">
        <is>
          <t>wk</t>
        </is>
      </c>
      <c r="D16" s="52" t="n">
        <v>10</v>
      </c>
      <c r="E16" s="49" t="n"/>
      <c r="F16" s="53">
        <f>IF(AND(ISNUMBER(D16),ISNUMBER(E16)),D16*E16,0)</f>
        <v/>
      </c>
    </row>
    <row r="17">
      <c r="A17" s="46" t="inlineStr">
        <is>
          <t>A.13</t>
        </is>
      </c>
      <c r="B17" s="47" t="inlineStr">
        <is>
          <t>Site take-down, hand-over &amp; demobilisation</t>
        </is>
      </c>
      <c r="C17" s="46" t="inlineStr">
        <is>
          <t>item</t>
        </is>
      </c>
      <c r="D17" s="48" t="n">
        <v>1</v>
      </c>
      <c r="E17" s="49" t="n"/>
      <c r="F17" s="37">
        <f>IF(AND(ISNUMBER(D17),ISNUMBER(E17)),D17*E17,0)</f>
        <v/>
      </c>
    </row>
    <row r="18">
      <c r="A18" s="50" t="inlineStr">
        <is>
          <t>A.14</t>
        </is>
      </c>
      <c r="B18" s="51" t="inlineStr">
        <is>
          <t>Pre-completion sound test (Approved Document E)</t>
        </is>
      </c>
      <c r="C18" s="50" t="inlineStr">
        <is>
          <t>test</t>
        </is>
      </c>
      <c r="D18" s="54" t="n"/>
      <c r="E18" s="49" t="n"/>
      <c r="F18" s="53">
        <f>IF(AND(ISNUMBER(D18),ISNUMBER(E18)),D18*E18,0)</f>
        <v/>
      </c>
    </row>
    <row r="19">
      <c r="A19" s="46" t="inlineStr">
        <is>
          <t>A.15</t>
        </is>
      </c>
      <c r="B19" s="47" t="inlineStr">
        <is>
          <t>Air-tightness test (Approved Document L)</t>
        </is>
      </c>
      <c r="C19" s="46" t="inlineStr">
        <is>
          <t>test</t>
        </is>
      </c>
      <c r="D19" s="54" t="n"/>
      <c r="E19" s="49" t="n"/>
      <c r="F19" s="37">
        <f>IF(AND(ISNUMBER(D19),ISNUMBER(E19)),D19*E19,0)</f>
        <v/>
      </c>
    </row>
    <row r="20">
      <c r="A20" s="50" t="inlineStr">
        <is>
          <t>A.16</t>
        </is>
      </c>
      <c r="B20" s="51" t="inlineStr">
        <is>
          <t>Day works allowance</t>
        </is>
      </c>
      <c r="C20" s="50" t="inlineStr">
        <is>
          <t>sum</t>
        </is>
      </c>
      <c r="D20" s="54" t="n"/>
      <c r="E20" s="49" t="n"/>
      <c r="F20" s="53">
        <f>IF(AND(ISNUMBER(D20),ISNUMBER(E20)),D20*E20,0)</f>
        <v/>
      </c>
    </row>
    <row r="22" ht="24" customHeight="1">
      <c r="A22" s="55" t="n"/>
      <c r="B22" s="56" t="inlineStr">
        <is>
          <t>A  —  PRELIMINARIES SUBTOTAL</t>
        </is>
      </c>
      <c r="C22" s="55" t="n"/>
      <c r="D22" s="55" t="n"/>
      <c r="E22" s="55" t="n"/>
      <c r="F22" s="57">
        <f>SUM(F5:F20)</f>
        <v/>
      </c>
    </row>
    <row r="1000">
      <c r="F1000" s="58">
        <f>F22</f>
        <v/>
      </c>
    </row>
  </sheetData>
  <mergeCells count="2">
    <mergeCell ref="A2:F2"/>
    <mergeCell ref="A1:F1"/>
  </mergeCells>
  <printOptions horizontalCentered="1"/>
  <pageMargins left="0.5" right="0.5" top="0.6" bottom="0.6" header="0.3" footer="0.3"/>
  <pageSetup orientation="portrait" paperSize="9" fitToHeight="0" fitToWidth="1"/>
  <headerFooter>
    <oddHeader/>
    <oddFooter>&amp;L&amp;9 &amp;K5A6C7DLand to Rear of 1-8 Wesley Terrace, Castleside  ·  ES26-080&amp;C&amp;9 &amp;K5A6C7DPage &amp;P of &amp;N&amp;R&amp;9 &amp;K5A6C7DIssued 19 Oct 2026</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1000"/>
  <sheetViews>
    <sheetView showGridLines="0" workbookViewId="0">
      <pane ySplit="4" topLeftCell="A5" activePane="bottomLeft" state="frozen"/>
      <selection pane="bottomLeft" activeCell="A1" sqref="A1"/>
    </sheetView>
  </sheetViews>
  <sheetFormatPr baseColWidth="8" defaultRowHeight="15"/>
  <cols>
    <col width="8" customWidth="1" min="1" max="1"/>
    <col width="56" customWidth="1" min="2" max="2"/>
    <col width="10" customWidth="1" min="3" max="3"/>
    <col width="14" customWidth="1" min="4" max="4"/>
    <col width="14" customWidth="1" min="5" max="5"/>
    <col width="16" customWidth="1" min="6" max="6"/>
  </cols>
  <sheetData>
    <row r="1" ht="28" customHeight="1">
      <c r="A1" s="21" t="inlineStr">
        <is>
          <t xml:space="preserve">  B  ·  ICF KIT SUPPLY</t>
        </is>
      </c>
    </row>
    <row r="2" ht="30" customHeight="1">
      <c r="A2" s="22" t="inlineStr">
        <is>
          <t>ICF material supply values are pre-priced from the associated Tremco CPG quotation. Pre-cut service fees are taken from each BuildEase take-off.</t>
        </is>
      </c>
    </row>
    <row r="4" ht="24" customHeight="1">
      <c r="A4" s="11" t="inlineStr">
        <is>
          <t>Ref</t>
        </is>
      </c>
      <c r="B4" s="11" t="inlineStr">
        <is>
          <t>Description</t>
        </is>
      </c>
      <c r="C4" s="11" t="inlineStr">
        <is>
          <t>Unit</t>
        </is>
      </c>
      <c r="D4" s="11" t="inlineStr">
        <is>
          <t>Qty</t>
        </is>
      </c>
      <c r="E4" s="11" t="inlineStr">
        <is>
          <t>Rate (£)</t>
        </is>
      </c>
      <c r="F4" s="11" t="inlineStr">
        <is>
          <t>Total (£)</t>
        </is>
      </c>
    </row>
    <row r="5" ht="20" customHeight="1">
      <c r="A5" s="59" t="inlineStr">
        <is>
          <t xml:space="preserve">  B.1  —  ICF Block, Forms &amp; Accessories</t>
        </is>
      </c>
    </row>
    <row r="6">
      <c r="A6" s="50" t="inlineStr">
        <is>
          <t>B.1</t>
        </is>
      </c>
      <c r="B6" s="51" t="inlineStr">
        <is>
          <t>ICF Materials — Block B01 - HT01 semi pair - plots 01, 02  (2 plot(s), 389 forms)</t>
        </is>
      </c>
      <c r="C6" s="50" t="inlineStr">
        <is>
          <t>group</t>
        </is>
      </c>
      <c r="D6" s="52" t="n">
        <v>1</v>
      </c>
      <c r="E6" s="53" t="n">
        <v>21961.23</v>
      </c>
      <c r="F6" s="53">
        <f>IF(AND(ISNUMBER(D6),ISNUMBER(E6)),D6*E6,0)</f>
        <v/>
      </c>
    </row>
    <row r="7">
      <c r="A7" s="46" t="inlineStr">
        <is>
          <t>B.1</t>
        </is>
      </c>
      <c r="B7" s="47" t="inlineStr">
        <is>
          <t>ICF Materials — Block B02 - HT01 terrace of 3 - plots 03, 04, 05  (3 plot(s), 508 forms)</t>
        </is>
      </c>
      <c r="C7" s="46" t="inlineStr">
        <is>
          <t>group</t>
        </is>
      </c>
      <c r="D7" s="48" t="n">
        <v>1</v>
      </c>
      <c r="E7" s="37" t="n">
        <v>28974.06</v>
      </c>
      <c r="F7" s="37">
        <f>IF(AND(ISNUMBER(D7),ISNUMBER(E7)),D7*E7,0)</f>
        <v/>
      </c>
    </row>
    <row r="8">
      <c r="A8" s="50" t="inlineStr">
        <is>
          <t>B.1</t>
        </is>
      </c>
      <c r="B8" s="51" t="inlineStr">
        <is>
          <t>ICF Materials — Block B03 - HT01 terrace of 3 - plots 06, 07, 08  (3 plot(s), 521 forms)</t>
        </is>
      </c>
      <c r="C8" s="50" t="inlineStr">
        <is>
          <t>group</t>
        </is>
      </c>
      <c r="D8" s="52" t="n">
        <v>1</v>
      </c>
      <c r="E8" s="53" t="n">
        <v>29603.35</v>
      </c>
      <c r="F8" s="53">
        <f>IF(AND(ISNUMBER(D8),ISNUMBER(E8)),D8*E8,0)</f>
        <v/>
      </c>
    </row>
    <row r="9">
      <c r="A9" s="46" t="inlineStr">
        <is>
          <t>B.1</t>
        </is>
      </c>
      <c r="B9" s="47" t="inlineStr">
        <is>
          <t>ICF Materials — Block B04 - HT01 semi pair - plots 09, 10  (2 plot(s), 380 forms)</t>
        </is>
      </c>
      <c r="C9" s="46" t="inlineStr">
        <is>
          <t>group</t>
        </is>
      </c>
      <c r="D9" s="48" t="n">
        <v>1</v>
      </c>
      <c r="E9" s="37" t="n">
        <v>21476.07</v>
      </c>
      <c r="F9" s="37">
        <f>IF(AND(ISNUMBER(D9),ISNUMBER(E9)),D9*E9,0)</f>
        <v/>
      </c>
    </row>
    <row r="10">
      <c r="A10" s="50" t="inlineStr">
        <is>
          <t>B.1</t>
        </is>
      </c>
      <c r="B10" s="51" t="inlineStr">
        <is>
          <t>ICF Materials — Block B05 - HT01 terrace of 3 - plots 11, 12, 13  (3 plot(s), 526 forms)</t>
        </is>
      </c>
      <c r="C10" s="50" t="inlineStr">
        <is>
          <t>group</t>
        </is>
      </c>
      <c r="D10" s="52" t="n">
        <v>1</v>
      </c>
      <c r="E10" s="53" t="n">
        <v>29949.87</v>
      </c>
      <c r="F10" s="53">
        <f>IF(AND(ISNUMBER(D10),ISNUMBER(E10)),D10*E10,0)</f>
        <v/>
      </c>
    </row>
    <row r="11">
      <c r="A11" s="46" t="inlineStr">
        <is>
          <t>B.1</t>
        </is>
      </c>
      <c r="B11" s="47" t="inlineStr">
        <is>
          <t>ICF Materials — Block B06 - HT02 bungalow - plots 14  (1 plot(s), 122 forms)</t>
        </is>
      </c>
      <c r="C11" s="46" t="inlineStr">
        <is>
          <t>group</t>
        </is>
      </c>
      <c r="D11" s="48" t="n">
        <v>1</v>
      </c>
      <c r="E11" s="37" t="n">
        <v>6975.24</v>
      </c>
      <c r="F11" s="37">
        <f>IF(AND(ISNUMBER(D11),ISNUMBER(E11)),D11*E11,0)</f>
        <v/>
      </c>
    </row>
    <row r="12">
      <c r="A12" s="50" t="inlineStr">
        <is>
          <t>B.1</t>
        </is>
      </c>
      <c r="B12" s="51" t="inlineStr">
        <is>
          <t>ICF Materials — Block B07 - HT02 bungalow - plots 15  (1 plot(s), 129 forms)</t>
        </is>
      </c>
      <c r="C12" s="50" t="inlineStr">
        <is>
          <t>group</t>
        </is>
      </c>
      <c r="D12" s="52" t="n">
        <v>1</v>
      </c>
      <c r="E12" s="53" t="n">
        <v>7309.7</v>
      </c>
      <c r="F12" s="53">
        <f>IF(AND(ISNUMBER(D12),ISNUMBER(E12)),D12*E12,0)</f>
        <v/>
      </c>
    </row>
    <row r="13">
      <c r="A13" s="46" t="inlineStr">
        <is>
          <t>B.1</t>
        </is>
      </c>
      <c r="B13" s="47" t="inlineStr">
        <is>
          <t>ICF Materials — Block B08 - HT01 terrace of 3 - plots 16, 17, 18  (3 plot(s), 518 forms)</t>
        </is>
      </c>
      <c r="C13" s="46" t="inlineStr">
        <is>
          <t>group</t>
        </is>
      </c>
      <c r="D13" s="48" t="n">
        <v>1</v>
      </c>
      <c r="E13" s="37" t="n">
        <v>29495.39</v>
      </c>
      <c r="F13" s="37">
        <f>IF(AND(ISNUMBER(D13),ISNUMBER(E13)),D13*E13,0)</f>
        <v/>
      </c>
    </row>
    <row r="15" ht="20" customHeight="1">
      <c r="A15" s="59" t="inlineStr">
        <is>
          <t xml:space="preserve">  B.2  —  BuildEase Pre-Cut Service Fee</t>
        </is>
      </c>
    </row>
    <row r="16">
      <c r="A16" s="50" t="inlineStr">
        <is>
          <t>B.2</t>
        </is>
      </c>
      <c r="B16" s="51" t="inlineStr">
        <is>
          <t>Pre-Cut Service — Block B01 - HT01 semi pair - plots 01, 02</t>
        </is>
      </c>
      <c r="C16" s="50" t="inlineStr">
        <is>
          <t>group</t>
        </is>
      </c>
      <c r="D16" s="52" t="n">
        <v>1</v>
      </c>
      <c r="E16" s="53" t="n">
        <v>1689.77</v>
      </c>
      <c r="F16" s="53">
        <f>IF(AND(ISNUMBER(D16),ISNUMBER(E16)),D16*E16,0)</f>
        <v/>
      </c>
    </row>
    <row r="17">
      <c r="A17" s="46" t="inlineStr">
        <is>
          <t>B.2</t>
        </is>
      </c>
      <c r="B17" s="47" t="inlineStr">
        <is>
          <t>Pre-Cut Service — Block B02 - HT01 terrace of 3 - plots 03, 04, 05</t>
        </is>
      </c>
      <c r="C17" s="46" t="inlineStr">
        <is>
          <t>group</t>
        </is>
      </c>
      <c r="D17" s="48" t="n">
        <v>1</v>
      </c>
      <c r="E17" s="37" t="n">
        <v>2017.35</v>
      </c>
      <c r="F17" s="37">
        <f>IF(AND(ISNUMBER(D17),ISNUMBER(E17)),D17*E17,0)</f>
        <v/>
      </c>
    </row>
    <row r="18">
      <c r="A18" s="50" t="inlineStr">
        <is>
          <t>B.2</t>
        </is>
      </c>
      <c r="B18" s="51" t="inlineStr">
        <is>
          <t>Pre-Cut Service — Block B03 - HT01 terrace of 3 - plots 06, 07, 08</t>
        </is>
      </c>
      <c r="C18" s="50" t="inlineStr">
        <is>
          <t>group</t>
        </is>
      </c>
      <c r="D18" s="52" t="n">
        <v>1</v>
      </c>
      <c r="E18" s="53" t="n">
        <v>1322.49</v>
      </c>
      <c r="F18" s="53">
        <f>IF(AND(ISNUMBER(D18),ISNUMBER(E18)),D18*E18,0)</f>
        <v/>
      </c>
    </row>
    <row r="19">
      <c r="A19" s="46" t="inlineStr">
        <is>
          <t>B.2</t>
        </is>
      </c>
      <c r="B19" s="47" t="inlineStr">
        <is>
          <t>Pre-Cut Service — Block B04 - HT01 semi pair - plots 09, 10</t>
        </is>
      </c>
      <c r="C19" s="46" t="inlineStr">
        <is>
          <t>group</t>
        </is>
      </c>
      <c r="D19" s="48" t="n">
        <v>1</v>
      </c>
      <c r="E19" s="37" t="n">
        <v>1029.5</v>
      </c>
      <c r="F19" s="37">
        <f>IF(AND(ISNUMBER(D19),ISNUMBER(E19)),D19*E19,0)</f>
        <v/>
      </c>
    </row>
    <row r="20">
      <c r="A20" s="50" t="inlineStr">
        <is>
          <t>B.2</t>
        </is>
      </c>
      <c r="B20" s="51" t="inlineStr">
        <is>
          <t>Pre-Cut Service — Block B05 - HT01 terrace of 3 - plots 11, 12, 13</t>
        </is>
      </c>
      <c r="C20" s="50" t="inlineStr">
        <is>
          <t>group</t>
        </is>
      </c>
      <c r="D20" s="52" t="n">
        <v>1</v>
      </c>
      <c r="E20" s="53" t="n">
        <v>1331.98</v>
      </c>
      <c r="F20" s="53">
        <f>IF(AND(ISNUMBER(D20),ISNUMBER(E20)),D20*E20,0)</f>
        <v/>
      </c>
    </row>
    <row r="21">
      <c r="A21" s="46" t="inlineStr">
        <is>
          <t>B.2</t>
        </is>
      </c>
      <c r="B21" s="47" t="inlineStr">
        <is>
          <t>Pre-Cut Service — Block B06 - HT02 bungalow - plots 14</t>
        </is>
      </c>
      <c r="C21" s="46" t="inlineStr">
        <is>
          <t>group</t>
        </is>
      </c>
      <c r="D21" s="48" t="n">
        <v>1</v>
      </c>
      <c r="E21" s="37" t="n">
        <v>1116.94</v>
      </c>
      <c r="F21" s="37">
        <f>IF(AND(ISNUMBER(D21),ISNUMBER(E21)),D21*E21,0)</f>
        <v/>
      </c>
    </row>
    <row r="22">
      <c r="A22" s="50" t="inlineStr">
        <is>
          <t>B.2</t>
        </is>
      </c>
      <c r="B22" s="51" t="inlineStr">
        <is>
          <t>Pre-Cut Service — Block B07 - HT02 bungalow - plots 15</t>
        </is>
      </c>
      <c r="C22" s="50" t="inlineStr">
        <is>
          <t>group</t>
        </is>
      </c>
      <c r="D22" s="52" t="n">
        <v>1</v>
      </c>
      <c r="E22" s="53" t="n">
        <v>657.5599999999999</v>
      </c>
      <c r="F22" s="53">
        <f>IF(AND(ISNUMBER(D22),ISNUMBER(E22)),D22*E22,0)</f>
        <v/>
      </c>
    </row>
    <row r="23">
      <c r="A23" s="46" t="inlineStr">
        <is>
          <t>B.2</t>
        </is>
      </c>
      <c r="B23" s="47" t="inlineStr">
        <is>
          <t>Pre-Cut Service — Block B08 - HT01 terrace of 3 - plots 16, 17, 18</t>
        </is>
      </c>
      <c r="C23" s="46" t="inlineStr">
        <is>
          <t>group</t>
        </is>
      </c>
      <c r="D23" s="48" t="n">
        <v>1</v>
      </c>
      <c r="E23" s="37" t="n">
        <v>1290.28</v>
      </c>
      <c r="F23" s="37">
        <f>IF(AND(ISNUMBER(D23),ISNUMBER(E23)),D23*E23,0)</f>
        <v/>
      </c>
    </row>
    <row r="25" ht="20" customHeight="1">
      <c r="A25" s="59" t="inlineStr">
        <is>
          <t xml:space="preserve">  B.3  —  Haulage</t>
        </is>
      </c>
    </row>
    <row r="26">
      <c r="A26" s="46" t="inlineStr">
        <is>
          <t>B.3</t>
        </is>
      </c>
      <c r="B26" s="47" t="inlineStr">
        <is>
          <t>Haulage to site — project-wide estimate (TBC on delivery schedule)</t>
        </is>
      </c>
      <c r="C26" s="46" t="inlineStr">
        <is>
          <t>item</t>
        </is>
      </c>
      <c r="D26" s="48" t="n">
        <v>1</v>
      </c>
      <c r="E26" s="37" t="n">
        <v>9041.34</v>
      </c>
      <c r="F26" s="37">
        <f>IF(AND(ISNUMBER(D26),ISNUMBER(E26)),D26*E26,0)</f>
        <v/>
      </c>
    </row>
    <row r="28" ht="20" customHeight="1">
      <c r="A28" s="59" t="inlineStr">
        <is>
          <t xml:space="preserve">  B.4  —  Alignment System</t>
        </is>
      </c>
    </row>
    <row r="29">
      <c r="A29" s="46" t="inlineStr">
        <is>
          <t>B.4</t>
        </is>
      </c>
      <c r="B29" s="47" t="inlineStr">
        <is>
          <t>Alignment System Rental — Block B01 - HT01 semi pair - plots 01, 02 (37 systems)</t>
        </is>
      </c>
      <c r="C29" s="46" t="inlineStr">
        <is>
          <t>group</t>
        </is>
      </c>
      <c r="D29" s="48" t="n">
        <v>1</v>
      </c>
      <c r="E29" s="37" t="n">
        <v>96</v>
      </c>
      <c r="F29" s="37">
        <f>IF(AND(ISNUMBER(D29),ISNUMBER(E29)),D29*E29,0)</f>
        <v/>
      </c>
    </row>
    <row r="30">
      <c r="A30" s="50" t="inlineStr">
        <is>
          <t>B.4</t>
        </is>
      </c>
      <c r="B30" s="51" t="inlineStr">
        <is>
          <t>Alignment System Rental — Block B02 - HT01 terrace of 3 - plots 03, 04, 05 (50 systems)</t>
        </is>
      </c>
      <c r="C30" s="50" t="inlineStr">
        <is>
          <t>group</t>
        </is>
      </c>
      <c r="D30" s="52" t="n">
        <v>1</v>
      </c>
      <c r="E30" s="53" t="n">
        <v>144</v>
      </c>
      <c r="F30" s="53">
        <f>IF(AND(ISNUMBER(D30),ISNUMBER(E30)),D30*E30,0)</f>
        <v/>
      </c>
    </row>
    <row r="31">
      <c r="A31" s="46" t="inlineStr">
        <is>
          <t>B.4</t>
        </is>
      </c>
      <c r="B31" s="47" t="inlineStr">
        <is>
          <t>Alignment System Rental — Block B03 - HT01 terrace of 3 - plots 06, 07, 08 (50 systems)</t>
        </is>
      </c>
      <c r="C31" s="46" t="inlineStr">
        <is>
          <t>group</t>
        </is>
      </c>
      <c r="D31" s="48" t="n">
        <v>1</v>
      </c>
      <c r="E31" s="37" t="n">
        <v>144</v>
      </c>
      <c r="F31" s="37">
        <f>IF(AND(ISNUMBER(D31),ISNUMBER(E31)),D31*E31,0)</f>
        <v/>
      </c>
    </row>
    <row r="32">
      <c r="A32" s="50" t="inlineStr">
        <is>
          <t>B.4</t>
        </is>
      </c>
      <c r="B32" s="51" t="inlineStr">
        <is>
          <t>Alignment System Rental — Block B04 - HT01 semi pair - plots 09, 10 (37 systems)</t>
        </is>
      </c>
      <c r="C32" s="50" t="inlineStr">
        <is>
          <t>group</t>
        </is>
      </c>
      <c r="D32" s="52" t="n">
        <v>1</v>
      </c>
      <c r="E32" s="53" t="n">
        <v>96</v>
      </c>
      <c r="F32" s="53">
        <f>IF(AND(ISNUMBER(D32),ISNUMBER(E32)),D32*E32,0)</f>
        <v/>
      </c>
    </row>
    <row r="33">
      <c r="A33" s="46" t="inlineStr">
        <is>
          <t>B.4</t>
        </is>
      </c>
      <c r="B33" s="47" t="inlineStr">
        <is>
          <t>Alignment System Rental — Block B05 - HT01 terrace of 3 - plots 11, 12, 13 (50 systems)</t>
        </is>
      </c>
      <c r="C33" s="46" t="inlineStr">
        <is>
          <t>group</t>
        </is>
      </c>
      <c r="D33" s="48" t="n">
        <v>1</v>
      </c>
      <c r="E33" s="37" t="n">
        <v>144</v>
      </c>
      <c r="F33" s="37">
        <f>IF(AND(ISNUMBER(D33),ISNUMBER(E33)),D33*E33,0)</f>
        <v/>
      </c>
    </row>
    <row r="34">
      <c r="A34" s="50" t="inlineStr">
        <is>
          <t>B.4</t>
        </is>
      </c>
      <c r="B34" s="51" t="inlineStr">
        <is>
          <t>Alignment System Rental — Block B06 - HT02 bungalow - plots 14 (28 systems)</t>
        </is>
      </c>
      <c r="C34" s="50" t="inlineStr">
        <is>
          <t>group</t>
        </is>
      </c>
      <c r="D34" s="52" t="n">
        <v>1</v>
      </c>
      <c r="E34" s="53" t="n">
        <v>96</v>
      </c>
      <c r="F34" s="53">
        <f>IF(AND(ISNUMBER(D34),ISNUMBER(E34)),D34*E34,0)</f>
        <v/>
      </c>
    </row>
    <row r="35">
      <c r="A35" s="46" t="inlineStr">
        <is>
          <t>B.4</t>
        </is>
      </c>
      <c r="B35" s="47" t="inlineStr">
        <is>
          <t>Alignment System Rental — Block B07 - HT02 bungalow - plots 15 (28 systems)</t>
        </is>
      </c>
      <c r="C35" s="46" t="inlineStr">
        <is>
          <t>group</t>
        </is>
      </c>
      <c r="D35" s="48" t="n">
        <v>1</v>
      </c>
      <c r="E35" s="37" t="n">
        <v>96</v>
      </c>
      <c r="F35" s="37">
        <f>IF(AND(ISNUMBER(D35),ISNUMBER(E35)),D35*E35,0)</f>
        <v/>
      </c>
    </row>
    <row r="36">
      <c r="A36" s="50" t="inlineStr">
        <is>
          <t>B.4</t>
        </is>
      </c>
      <c r="B36" s="51" t="inlineStr">
        <is>
          <t>Alignment System Rental — Block B08 - HT01 terrace of 3 - plots 16, 17, 18 (50 systems)</t>
        </is>
      </c>
      <c r="C36" s="50" t="inlineStr">
        <is>
          <t>group</t>
        </is>
      </c>
      <c r="D36" s="52" t="n">
        <v>1</v>
      </c>
      <c r="E36" s="53" t="n">
        <v>144</v>
      </c>
      <c r="F36" s="53">
        <f>IF(AND(ISNUMBER(D36),ISNUMBER(E36)),D36*E36,0)</f>
        <v/>
      </c>
    </row>
    <row r="38" ht="24" customHeight="1">
      <c r="A38" s="55" t="n"/>
      <c r="B38" s="56" t="inlineStr">
        <is>
          <t>B  —  ICF KIT SUPPLY SUBTOTAL</t>
        </is>
      </c>
      <c r="C38" s="55" t="n"/>
      <c r="D38" s="55" t="n"/>
      <c r="E38" s="55" t="n"/>
      <c r="F38" s="57">
        <f>SUM(F5:F36)</f>
        <v/>
      </c>
    </row>
    <row r="1000">
      <c r="F1000" s="58">
        <f>F38</f>
        <v/>
      </c>
    </row>
  </sheetData>
  <mergeCells count="6">
    <mergeCell ref="A2:F2"/>
    <mergeCell ref="A28:F28"/>
    <mergeCell ref="A1:F1"/>
    <mergeCell ref="A5:F5"/>
    <mergeCell ref="A15:F15"/>
    <mergeCell ref="A25:F25"/>
  </mergeCells>
  <printOptions horizontalCentered="1"/>
  <pageMargins left="0.5" right="0.5" top="0.6" bottom="0.6" header="0.3" footer="0.3"/>
  <pageSetup orientation="portrait" paperSize="9" fitToHeight="0" fitToWidth="1"/>
  <headerFooter>
    <oddHeader/>
    <oddFooter>&amp;L&amp;9 &amp;K5A6C7DLand to Rear of 1-8 Wesley Terrace, Castleside  ·  ES26-080&amp;C&amp;9 &amp;K5A6C7DPage &amp;P of &amp;N&amp;R&amp;9 &amp;K5A6C7DIssued 19 Oct 2026</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1000"/>
  <sheetViews>
    <sheetView showGridLines="0" workbookViewId="0">
      <pane ySplit="4" topLeftCell="A5" activePane="bottomLeft" state="frozen"/>
      <selection pane="bottomLeft" activeCell="A1" sqref="A1"/>
    </sheetView>
  </sheetViews>
  <sheetFormatPr baseColWidth="8" defaultRowHeight="15"/>
  <cols>
    <col width="8" customWidth="1" min="1" max="1"/>
    <col width="56" customWidth="1" min="2" max="2"/>
    <col width="10" customWidth="1" min="3" max="3"/>
    <col width="14" customWidth="1" min="4" max="4"/>
    <col width="14" customWidth="1" min="5" max="5"/>
    <col width="16" customWidth="1" min="6" max="6"/>
  </cols>
  <sheetData>
    <row r="1" ht="28" customHeight="1">
      <c r="A1" s="21" t="inlineStr">
        <is>
          <t xml:space="preserve">  C  ·  CONCRETE SUPPLY, PUMP &amp; PLACEMENT</t>
        </is>
      </c>
    </row>
    <row r="2" ht="30" customHeight="1">
      <c r="A2" s="22" t="inlineStr">
        <is>
          <t>Volumes are geometric void calculations (block length × course height × core thickness). Allow ~3% for plastic web displacement and ~5% wastage when ordering. Rates to be inserted by the contractor.</t>
        </is>
      </c>
    </row>
    <row r="4" ht="24" customHeight="1">
      <c r="A4" s="11" t="inlineStr">
        <is>
          <t>Ref</t>
        </is>
      </c>
      <c r="B4" s="11" t="inlineStr">
        <is>
          <t>Description</t>
        </is>
      </c>
      <c r="C4" s="11" t="inlineStr">
        <is>
          <t>Unit</t>
        </is>
      </c>
      <c r="D4" s="11" t="inlineStr">
        <is>
          <t>Qty</t>
        </is>
      </c>
      <c r="E4" s="11" t="inlineStr">
        <is>
          <t>Rate (£)</t>
        </is>
      </c>
      <c r="F4" s="11" t="inlineStr">
        <is>
          <t>Total (£)</t>
        </is>
      </c>
    </row>
    <row r="5" ht="20" customHeight="1">
      <c r="A5" s="59" t="inlineStr">
        <is>
          <t xml:space="preserve">  C.1  —  Ready-Mix Concrete Supply  (C28/35 typical to BS 8500)</t>
        </is>
      </c>
    </row>
    <row r="6">
      <c r="A6" s="50" t="inlineStr">
        <is>
          <t>C.1</t>
        </is>
      </c>
      <c r="B6" s="51" t="inlineStr">
        <is>
          <t>Ready-mix concrete — Block B01 - HT01 semi pair - plots 01, 02  (2 plot(s), geometric void)</t>
        </is>
      </c>
      <c r="C6" s="50" t="inlineStr">
        <is>
          <t>m³</t>
        </is>
      </c>
      <c r="D6" s="60" t="n">
        <v>62.77</v>
      </c>
      <c r="E6" s="49" t="n"/>
      <c r="F6" s="53">
        <f>IF(AND(ISNUMBER(D6),ISNUMBER(E6)),D6*E6,0)</f>
        <v/>
      </c>
    </row>
    <row r="7">
      <c r="A7" s="46" t="inlineStr">
        <is>
          <t>C.1</t>
        </is>
      </c>
      <c r="B7" s="47" t="inlineStr">
        <is>
          <t>Ready-mix concrete — Block B02 - HT01 terrace of 3 - plots 03, 04, 05  (3 plot(s), geometric void)</t>
        </is>
      </c>
      <c r="C7" s="46" t="inlineStr">
        <is>
          <t>m³</t>
        </is>
      </c>
      <c r="D7" s="61" t="n">
        <v>83.05</v>
      </c>
      <c r="E7" s="49" t="n"/>
      <c r="F7" s="37">
        <f>IF(AND(ISNUMBER(D7),ISNUMBER(E7)),D7*E7,0)</f>
        <v/>
      </c>
    </row>
    <row r="8">
      <c r="A8" s="50" t="inlineStr">
        <is>
          <t>C.1</t>
        </is>
      </c>
      <c r="B8" s="51" t="inlineStr">
        <is>
          <t>Ready-mix concrete — Block B03 - HT01 terrace of 3 - plots 06, 07, 08  (3 plot(s), geometric void)</t>
        </is>
      </c>
      <c r="C8" s="50" t="inlineStr">
        <is>
          <t>m³</t>
        </is>
      </c>
      <c r="D8" s="60" t="n">
        <v>85.14</v>
      </c>
      <c r="E8" s="49" t="n"/>
      <c r="F8" s="53">
        <f>IF(AND(ISNUMBER(D8),ISNUMBER(E8)),D8*E8,0)</f>
        <v/>
      </c>
    </row>
    <row r="9">
      <c r="A9" s="46" t="inlineStr">
        <is>
          <t>C.1</t>
        </is>
      </c>
      <c r="B9" s="47" t="inlineStr">
        <is>
          <t>Ready-mix concrete — Block B04 - HT01 semi pair - plots 09, 10  (2 plot(s), geometric void)</t>
        </is>
      </c>
      <c r="C9" s="46" t="inlineStr">
        <is>
          <t>m³</t>
        </is>
      </c>
      <c r="D9" s="61" t="n">
        <v>61.24</v>
      </c>
      <c r="E9" s="49" t="n"/>
      <c r="F9" s="37">
        <f>IF(AND(ISNUMBER(D9),ISNUMBER(E9)),D9*E9,0)</f>
        <v/>
      </c>
    </row>
    <row r="10">
      <c r="A10" s="50" t="inlineStr">
        <is>
          <t>C.1</t>
        </is>
      </c>
      <c r="B10" s="51" t="inlineStr">
        <is>
          <t>Ready-mix concrete — Block B05 - HT01 terrace of 3 - plots 11, 12, 13  (3 plot(s), geometric void)</t>
        </is>
      </c>
      <c r="C10" s="50" t="inlineStr">
        <is>
          <t>m³</t>
        </is>
      </c>
      <c r="D10" s="60" t="n">
        <v>85.98999999999999</v>
      </c>
      <c r="E10" s="49" t="n"/>
      <c r="F10" s="53">
        <f>IF(AND(ISNUMBER(D10),ISNUMBER(E10)),D10*E10,0)</f>
        <v/>
      </c>
    </row>
    <row r="11">
      <c r="A11" s="46" t="inlineStr">
        <is>
          <t>C.1</t>
        </is>
      </c>
      <c r="B11" s="47" t="inlineStr">
        <is>
          <t>Ready-mix concrete — Block B06 - HT02 bungalow - plots 14  (1 plot(s), geometric void)</t>
        </is>
      </c>
      <c r="C11" s="46" t="inlineStr">
        <is>
          <t>m³</t>
        </is>
      </c>
      <c r="D11" s="61" t="n">
        <v>18.92</v>
      </c>
      <c r="E11" s="49" t="n"/>
      <c r="F11" s="37">
        <f>IF(AND(ISNUMBER(D11),ISNUMBER(E11)),D11*E11,0)</f>
        <v/>
      </c>
    </row>
    <row r="12">
      <c r="A12" s="50" t="inlineStr">
        <is>
          <t>C.1</t>
        </is>
      </c>
      <c r="B12" s="51" t="inlineStr">
        <is>
          <t>Ready-mix concrete — Block B07 - HT02 bungalow - plots 15  (1 plot(s), geometric void)</t>
        </is>
      </c>
      <c r="C12" s="50" t="inlineStr">
        <is>
          <t>m³</t>
        </is>
      </c>
      <c r="D12" s="60" t="n">
        <v>20</v>
      </c>
      <c r="E12" s="49" t="n"/>
      <c r="F12" s="53">
        <f>IF(AND(ISNUMBER(D12),ISNUMBER(E12)),D12*E12,0)</f>
        <v/>
      </c>
    </row>
    <row r="13">
      <c r="A13" s="46" t="inlineStr">
        <is>
          <t>C.1</t>
        </is>
      </c>
      <c r="B13" s="47" t="inlineStr">
        <is>
          <t>Ready-mix concrete — Block B08 - HT01 terrace of 3 - plots 16, 17, 18  (3 plot(s), geometric void)</t>
        </is>
      </c>
      <c r="C13" s="46" t="inlineStr">
        <is>
          <t>m³</t>
        </is>
      </c>
      <c r="D13" s="61" t="n">
        <v>84.63</v>
      </c>
      <c r="E13" s="49" t="n"/>
      <c r="F13" s="37">
        <f>IF(AND(ISNUMBER(D13),ISNUMBER(E13)),D13*E13,0)</f>
        <v/>
      </c>
    </row>
    <row r="15" ht="20" customHeight="1">
      <c r="A15" s="59" t="inlineStr">
        <is>
          <t xml:space="preserve">  C.2  —  Concrete Pump Hire</t>
        </is>
      </c>
    </row>
    <row r="16">
      <c r="A16" s="50" t="inlineStr">
        <is>
          <t>C.2</t>
        </is>
      </c>
      <c r="B16" s="51" t="inlineStr">
        <is>
          <t>Boom pump hire — Block B01 - HT01 semi pair - plots 01, 02</t>
        </is>
      </c>
      <c r="C16" s="50" t="inlineStr">
        <is>
          <t>day</t>
        </is>
      </c>
      <c r="D16" s="52" t="n">
        <v>2</v>
      </c>
      <c r="E16" s="49" t="n"/>
      <c r="F16" s="53">
        <f>IF(AND(ISNUMBER(D16),ISNUMBER(E16)),D16*E16,0)</f>
        <v/>
      </c>
    </row>
    <row r="17">
      <c r="A17" s="46" t="inlineStr">
        <is>
          <t>C.2</t>
        </is>
      </c>
      <c r="B17" s="47" t="inlineStr">
        <is>
          <t>Boom pump hire — Block B02 - HT01 terrace of 3 - plots 03, 04, 05</t>
        </is>
      </c>
      <c r="C17" s="46" t="inlineStr">
        <is>
          <t>day</t>
        </is>
      </c>
      <c r="D17" s="48" t="n">
        <v>2</v>
      </c>
      <c r="E17" s="49" t="n"/>
      <c r="F17" s="37">
        <f>IF(AND(ISNUMBER(D17),ISNUMBER(E17)),D17*E17,0)</f>
        <v/>
      </c>
    </row>
    <row r="18">
      <c r="A18" s="50" t="inlineStr">
        <is>
          <t>C.2</t>
        </is>
      </c>
      <c r="B18" s="51" t="inlineStr">
        <is>
          <t>Boom pump hire — Block B03 - HT01 terrace of 3 - plots 06, 07, 08</t>
        </is>
      </c>
      <c r="C18" s="50" t="inlineStr">
        <is>
          <t>day</t>
        </is>
      </c>
      <c r="D18" s="52" t="n">
        <v>2</v>
      </c>
      <c r="E18" s="49" t="n"/>
      <c r="F18" s="53">
        <f>IF(AND(ISNUMBER(D18),ISNUMBER(E18)),D18*E18,0)</f>
        <v/>
      </c>
    </row>
    <row r="19">
      <c r="A19" s="46" t="inlineStr">
        <is>
          <t>C.2</t>
        </is>
      </c>
      <c r="B19" s="47" t="inlineStr">
        <is>
          <t>Boom pump hire — Block B04 - HT01 semi pair - plots 09, 10</t>
        </is>
      </c>
      <c r="C19" s="46" t="inlineStr">
        <is>
          <t>day</t>
        </is>
      </c>
      <c r="D19" s="48" t="n">
        <v>2</v>
      </c>
      <c r="E19" s="49" t="n"/>
      <c r="F19" s="37">
        <f>IF(AND(ISNUMBER(D19),ISNUMBER(E19)),D19*E19,0)</f>
        <v/>
      </c>
    </row>
    <row r="20">
      <c r="A20" s="50" t="inlineStr">
        <is>
          <t>C.2</t>
        </is>
      </c>
      <c r="B20" s="51" t="inlineStr">
        <is>
          <t>Boom pump hire — Block B05 - HT01 terrace of 3 - plots 11, 12, 13</t>
        </is>
      </c>
      <c r="C20" s="50" t="inlineStr">
        <is>
          <t>day</t>
        </is>
      </c>
      <c r="D20" s="52" t="n">
        <v>2</v>
      </c>
      <c r="E20" s="49" t="n"/>
      <c r="F20" s="53">
        <f>IF(AND(ISNUMBER(D20),ISNUMBER(E20)),D20*E20,0)</f>
        <v/>
      </c>
    </row>
    <row r="21">
      <c r="A21" s="46" t="inlineStr">
        <is>
          <t>C.2</t>
        </is>
      </c>
      <c r="B21" s="47" t="inlineStr">
        <is>
          <t>Boom pump hire — Block B06 - HT02 bungalow - plots 14</t>
        </is>
      </c>
      <c r="C21" s="46" t="inlineStr">
        <is>
          <t>day</t>
        </is>
      </c>
      <c r="D21" s="48" t="n">
        <v>2</v>
      </c>
      <c r="E21" s="49" t="n"/>
      <c r="F21" s="37">
        <f>IF(AND(ISNUMBER(D21),ISNUMBER(E21)),D21*E21,0)</f>
        <v/>
      </c>
    </row>
    <row r="22">
      <c r="A22" s="50" t="inlineStr">
        <is>
          <t>C.2</t>
        </is>
      </c>
      <c r="B22" s="51" t="inlineStr">
        <is>
          <t>Boom pump hire — Block B07 - HT02 bungalow - plots 15</t>
        </is>
      </c>
      <c r="C22" s="50" t="inlineStr">
        <is>
          <t>day</t>
        </is>
      </c>
      <c r="D22" s="52" t="n">
        <v>2</v>
      </c>
      <c r="E22" s="49" t="n"/>
      <c r="F22" s="53">
        <f>IF(AND(ISNUMBER(D22),ISNUMBER(E22)),D22*E22,0)</f>
        <v/>
      </c>
    </row>
    <row r="23">
      <c r="A23" s="46" t="inlineStr">
        <is>
          <t>C.2</t>
        </is>
      </c>
      <c r="B23" s="47" t="inlineStr">
        <is>
          <t>Boom pump hire — Block B08 - HT01 terrace of 3 - plots 16, 17, 18</t>
        </is>
      </c>
      <c r="C23" s="46" t="inlineStr">
        <is>
          <t>day</t>
        </is>
      </c>
      <c r="D23" s="48" t="n">
        <v>2</v>
      </c>
      <c r="E23" s="49" t="n"/>
      <c r="F23" s="37">
        <f>IF(AND(ISNUMBER(D23),ISNUMBER(E23)),D23*E23,0)</f>
        <v/>
      </c>
    </row>
    <row r="24">
      <c r="A24" s="46" t="inlineStr">
        <is>
          <t>C.2</t>
        </is>
      </c>
      <c r="B24" s="47" t="inlineStr">
        <is>
          <t>Pump mobilisation / demobilisation</t>
        </is>
      </c>
      <c r="C24" s="46" t="inlineStr">
        <is>
          <t>item</t>
        </is>
      </c>
      <c r="D24" s="48" t="n">
        <v>1</v>
      </c>
      <c r="E24" s="49" t="n"/>
      <c r="F24" s="37">
        <f>IF(AND(ISNUMBER(D24),ISNUMBER(E24)),D24*E24,0)</f>
        <v/>
      </c>
    </row>
    <row r="26" ht="20" customHeight="1">
      <c r="A26" s="59" t="inlineStr">
        <is>
          <t xml:space="preserve">  C.3  —  Concrete Vibration &amp; Placement Plant</t>
        </is>
      </c>
    </row>
    <row r="27">
      <c r="A27" s="46" t="inlineStr">
        <is>
          <t>C.3</t>
        </is>
      </c>
      <c r="B27" s="47" t="inlineStr">
        <is>
          <t>Internal poker vibrator hire — site duration</t>
        </is>
      </c>
      <c r="C27" s="46" t="inlineStr">
        <is>
          <t>wk</t>
        </is>
      </c>
      <c r="D27" s="48" t="n">
        <v>10</v>
      </c>
      <c r="E27" s="49" t="n"/>
      <c r="F27" s="37">
        <f>IF(AND(ISNUMBER(D27),ISNUMBER(E27)),D27*E27,0)</f>
        <v/>
      </c>
    </row>
    <row r="28">
      <c r="A28" s="46" t="inlineStr">
        <is>
          <t>C.3</t>
        </is>
      </c>
      <c r="B28" s="47" t="inlineStr">
        <is>
          <t>Concrete banksman / poker operator</t>
        </is>
      </c>
      <c r="C28" s="46" t="inlineStr">
        <is>
          <t>day</t>
        </is>
      </c>
      <c r="D28" s="54" t="n"/>
      <c r="E28" s="49" t="n"/>
      <c r="F28" s="37">
        <f>IF(AND(ISNUMBER(D28),ISNUMBER(E28)),D28*E28,0)</f>
        <v/>
      </c>
    </row>
    <row r="30" ht="24" customHeight="1">
      <c r="A30" s="55" t="n"/>
      <c r="B30" s="56" t="inlineStr">
        <is>
          <t>C  —  CONCRETE SUBTOTAL</t>
        </is>
      </c>
      <c r="C30" s="55" t="n"/>
      <c r="D30" s="55" t="n"/>
      <c r="E30" s="55" t="n"/>
      <c r="F30" s="57">
        <f>SUM(F5:F28)</f>
        <v/>
      </c>
    </row>
    <row r="1000">
      <c r="F1000" s="58">
        <f>F30</f>
        <v/>
      </c>
    </row>
  </sheetData>
  <mergeCells count="5">
    <mergeCell ref="A2:F2"/>
    <mergeCell ref="A1:F1"/>
    <mergeCell ref="A5:F5"/>
    <mergeCell ref="A26:F26"/>
    <mergeCell ref="A15:F15"/>
  </mergeCells>
  <printOptions horizontalCentered="1"/>
  <pageMargins left="0.5" right="0.5" top="0.6" bottom="0.6" header="0.3" footer="0.3"/>
  <pageSetup orientation="portrait" paperSize="9" fitToHeight="0" fitToWidth="1"/>
  <headerFooter>
    <oddHeader/>
    <oddFooter>&amp;L&amp;9 &amp;K5A6C7DLand to Rear of 1-8 Wesley Terrace, Castleside  ·  ES26-080&amp;C&amp;9 &amp;K5A6C7DPage &amp;P of &amp;N&amp;R&amp;9 &amp;K5A6C7DIssued 19 Oct 2026</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000"/>
  <sheetViews>
    <sheetView showGridLines="0" workbookViewId="0">
      <pane ySplit="4" topLeftCell="A5" activePane="bottomLeft" state="frozen"/>
      <selection pane="bottomLeft" activeCell="A1" sqref="A1"/>
    </sheetView>
  </sheetViews>
  <sheetFormatPr baseColWidth="8" defaultRowHeight="15"/>
  <cols>
    <col width="8" customWidth="1" min="1" max="1"/>
    <col width="56" customWidth="1" min="2" max="2"/>
    <col width="10" customWidth="1" min="3" max="3"/>
    <col width="14" customWidth="1" min="4" max="4"/>
    <col width="14" customWidth="1" min="5" max="5"/>
    <col width="16" customWidth="1" min="6" max="6"/>
  </cols>
  <sheetData>
    <row r="1" ht="28" customHeight="1">
      <c r="A1" s="21" t="inlineStr">
        <is>
          <t xml:space="preserve">  D  ·  LABOUR  —  ICF INSTALL, FLOORS &amp; ROOFS</t>
        </is>
      </c>
    </row>
    <row r="2" ht="40" customHeight="1">
      <c r="A2" s="22" t="inlineStr">
        <is>
          <t>ICF install days scaled proportionately against the Maycroft reference (52.65 forms per gang-day). Rates below are per 4-man gang per day. Floor and roof allowances are taken per group from the project configuration.</t>
        </is>
      </c>
    </row>
    <row r="4" ht="24" customHeight="1">
      <c r="A4" s="11" t="inlineStr">
        <is>
          <t>Ref</t>
        </is>
      </c>
      <c r="B4" s="11" t="inlineStr">
        <is>
          <t>Description</t>
        </is>
      </c>
      <c r="C4" s="11" t="inlineStr">
        <is>
          <t>Unit</t>
        </is>
      </c>
      <c r="D4" s="11" t="inlineStr">
        <is>
          <t>Qty</t>
        </is>
      </c>
      <c r="E4" s="11" t="inlineStr">
        <is>
          <t>Rate (£)</t>
        </is>
      </c>
      <c r="F4" s="11" t="inlineStr">
        <is>
          <t>Total (£)</t>
        </is>
      </c>
    </row>
    <row r="5" ht="20" customHeight="1">
      <c r="A5" s="59" t="inlineStr">
        <is>
          <t xml:space="preserve">  D.1  —  ICF Install Gang</t>
        </is>
      </c>
    </row>
    <row r="6">
      <c r="A6" s="50" t="inlineStr">
        <is>
          <t>D.1</t>
        </is>
      </c>
      <c r="B6" s="51" t="inlineStr">
        <is>
          <t>ICF install — Block B01 - HT01 semi pair - plots 01, 02  (389 forms ÷ 52.65 forms/day = 7.4 gang-days)</t>
        </is>
      </c>
      <c r="C6" s="50" t="inlineStr">
        <is>
          <t>gang-day</t>
        </is>
      </c>
      <c r="D6" s="60" t="n">
        <v>7.4</v>
      </c>
      <c r="E6" s="49" t="n"/>
      <c r="F6" s="53">
        <f>IF(AND(ISNUMBER(D6),ISNUMBER(E6)),D6*E6,0)</f>
        <v/>
      </c>
    </row>
    <row r="7">
      <c r="A7" s="46" t="inlineStr">
        <is>
          <t>D.1</t>
        </is>
      </c>
      <c r="B7" s="47" t="inlineStr">
        <is>
          <t>ICF install — Block B02 - HT01 terrace of 3 - plots 03, 04, 05  (508 forms ÷ 52.65 forms/day = 9.6 gang-days)</t>
        </is>
      </c>
      <c r="C7" s="46" t="inlineStr">
        <is>
          <t>gang-day</t>
        </is>
      </c>
      <c r="D7" s="61" t="n">
        <v>9.6</v>
      </c>
      <c r="E7" s="49" t="n"/>
      <c r="F7" s="37">
        <f>IF(AND(ISNUMBER(D7),ISNUMBER(E7)),D7*E7,0)</f>
        <v/>
      </c>
    </row>
    <row r="8">
      <c r="A8" s="50" t="inlineStr">
        <is>
          <t>D.1</t>
        </is>
      </c>
      <c r="B8" s="51" t="inlineStr">
        <is>
          <t>ICF install — Block B03 - HT01 terrace of 3 - plots 06, 07, 08  (521 forms ÷ 52.65 forms/day = 9.9 gang-days)</t>
        </is>
      </c>
      <c r="C8" s="50" t="inlineStr">
        <is>
          <t>gang-day</t>
        </is>
      </c>
      <c r="D8" s="60" t="n">
        <v>9.9</v>
      </c>
      <c r="E8" s="49" t="n"/>
      <c r="F8" s="53">
        <f>IF(AND(ISNUMBER(D8),ISNUMBER(E8)),D8*E8,0)</f>
        <v/>
      </c>
    </row>
    <row r="9">
      <c r="A9" s="46" t="inlineStr">
        <is>
          <t>D.1</t>
        </is>
      </c>
      <c r="B9" s="47" t="inlineStr">
        <is>
          <t>ICF install — Block B04 - HT01 semi pair - plots 09, 10  (380 forms ÷ 52.65 forms/day = 7.2 gang-days)</t>
        </is>
      </c>
      <c r="C9" s="46" t="inlineStr">
        <is>
          <t>gang-day</t>
        </is>
      </c>
      <c r="D9" s="61" t="n">
        <v>7.2</v>
      </c>
      <c r="E9" s="49" t="n"/>
      <c r="F9" s="37">
        <f>IF(AND(ISNUMBER(D9),ISNUMBER(E9)),D9*E9,0)</f>
        <v/>
      </c>
    </row>
    <row r="10">
      <c r="A10" s="50" t="inlineStr">
        <is>
          <t>D.1</t>
        </is>
      </c>
      <c r="B10" s="51" t="inlineStr">
        <is>
          <t>ICF install — Block B05 - HT01 terrace of 3 - plots 11, 12, 13  (526 forms ÷ 52.65 forms/day = 10.0 gang-days)</t>
        </is>
      </c>
      <c r="C10" s="50" t="inlineStr">
        <is>
          <t>gang-day</t>
        </is>
      </c>
      <c r="D10" s="60" t="n">
        <v>10</v>
      </c>
      <c r="E10" s="49" t="n"/>
      <c r="F10" s="53">
        <f>IF(AND(ISNUMBER(D10),ISNUMBER(E10)),D10*E10,0)</f>
        <v/>
      </c>
    </row>
    <row r="11">
      <c r="A11" s="46" t="inlineStr">
        <is>
          <t>D.1</t>
        </is>
      </c>
      <c r="B11" s="47" t="inlineStr">
        <is>
          <t>ICF install — Block B06 - HT02 bungalow - plots 14  (122 forms ÷ 52.65 forms/day = 2.3 gang-days)</t>
        </is>
      </c>
      <c r="C11" s="46" t="inlineStr">
        <is>
          <t>gang-day</t>
        </is>
      </c>
      <c r="D11" s="61" t="n">
        <v>2.3</v>
      </c>
      <c r="E11" s="49" t="n"/>
      <c r="F11" s="37">
        <f>IF(AND(ISNUMBER(D11),ISNUMBER(E11)),D11*E11,0)</f>
        <v/>
      </c>
    </row>
    <row r="12">
      <c r="A12" s="50" t="inlineStr">
        <is>
          <t>D.1</t>
        </is>
      </c>
      <c r="B12" s="51" t="inlineStr">
        <is>
          <t>ICF install — Block B07 - HT02 bungalow - plots 15  (129 forms ÷ 52.65 forms/day = 2.5 gang-days)</t>
        </is>
      </c>
      <c r="C12" s="50" t="inlineStr">
        <is>
          <t>gang-day</t>
        </is>
      </c>
      <c r="D12" s="60" t="n">
        <v>2.5</v>
      </c>
      <c r="E12" s="49" t="n"/>
      <c r="F12" s="53">
        <f>IF(AND(ISNUMBER(D12),ISNUMBER(E12)),D12*E12,0)</f>
        <v/>
      </c>
    </row>
    <row r="13">
      <c r="A13" s="46" t="inlineStr">
        <is>
          <t>D.1</t>
        </is>
      </c>
      <c r="B13" s="47" t="inlineStr">
        <is>
          <t>ICF install — Block B08 - HT01 terrace of 3 - plots 16, 17, 18  (518 forms ÷ 52.65 forms/day = 9.8 gang-days)</t>
        </is>
      </c>
      <c r="C13" s="46" t="inlineStr">
        <is>
          <t>gang-day</t>
        </is>
      </c>
      <c r="D13" s="61" t="n">
        <v>9.800000000000001</v>
      </c>
      <c r="E13" s="49" t="n"/>
      <c r="F13" s="37">
        <f>IF(AND(ISNUMBER(D13),ISNUMBER(E13)),D13*E13,0)</f>
        <v/>
      </c>
    </row>
    <row r="14">
      <c r="A14" s="46" t="inlineStr">
        <is>
          <t>D.1</t>
        </is>
      </c>
      <c r="B14" s="47" t="inlineStr">
        <is>
          <t>Snag, pour &amp; cure attendance (30% allowance, project total)</t>
        </is>
      </c>
      <c r="C14" s="46" t="inlineStr">
        <is>
          <t>gang-day</t>
        </is>
      </c>
      <c r="D14" s="61" t="n">
        <v>17.6</v>
      </c>
      <c r="E14" s="49" t="n"/>
      <c r="F14" s="37">
        <f>IF(AND(ISNUMBER(D14),ISNUMBER(E14)),D14*E14,0)</f>
        <v/>
      </c>
    </row>
    <row r="16" ht="20" customHeight="1">
      <c r="A16" s="59" t="inlineStr">
        <is>
          <t xml:space="preserve">  D.2  —  Floor Structure Labour  (metal-web joists, top-hung balloon frame)</t>
        </is>
      </c>
    </row>
    <row r="17">
      <c r="A17" s="46" t="inlineStr">
        <is>
          <t>D.2</t>
        </is>
      </c>
      <c r="B17" s="47" t="inlineStr">
        <is>
          <t>Floor structure — Block B01 - HT01 semi pair - plots 01, 02  (1 floor × 2 gang-days)</t>
        </is>
      </c>
      <c r="C17" s="46" t="inlineStr">
        <is>
          <t>gang-day</t>
        </is>
      </c>
      <c r="D17" s="48" t="n">
        <v>2</v>
      </c>
      <c r="E17" s="49" t="n"/>
      <c r="F17" s="37">
        <f>IF(AND(ISNUMBER(D17),ISNUMBER(E17)),D17*E17,0)</f>
        <v/>
      </c>
    </row>
    <row r="18">
      <c r="A18" s="50" t="inlineStr">
        <is>
          <t>D.2</t>
        </is>
      </c>
      <c r="B18" s="51" t="inlineStr">
        <is>
          <t>Floor structure — Block B02 - HT01 terrace of 3 - plots 03, 04, 05  (1 floor × 3 gang-days)</t>
        </is>
      </c>
      <c r="C18" s="50" t="inlineStr">
        <is>
          <t>gang-day</t>
        </is>
      </c>
      <c r="D18" s="52" t="n">
        <v>3</v>
      </c>
      <c r="E18" s="49" t="n"/>
      <c r="F18" s="53">
        <f>IF(AND(ISNUMBER(D18),ISNUMBER(E18)),D18*E18,0)</f>
        <v/>
      </c>
    </row>
    <row r="19">
      <c r="A19" s="46" t="inlineStr">
        <is>
          <t>D.2</t>
        </is>
      </c>
      <c r="B19" s="47" t="inlineStr">
        <is>
          <t>Floor structure — Block B03 - HT01 terrace of 3 - plots 06, 07, 08  (1 floor × 3 gang-days)</t>
        </is>
      </c>
      <c r="C19" s="46" t="inlineStr">
        <is>
          <t>gang-day</t>
        </is>
      </c>
      <c r="D19" s="48" t="n">
        <v>3</v>
      </c>
      <c r="E19" s="49" t="n"/>
      <c r="F19" s="37">
        <f>IF(AND(ISNUMBER(D19),ISNUMBER(E19)),D19*E19,0)</f>
        <v/>
      </c>
    </row>
    <row r="20">
      <c r="A20" s="50" t="inlineStr">
        <is>
          <t>D.2</t>
        </is>
      </c>
      <c r="B20" s="51" t="inlineStr">
        <is>
          <t>Floor structure — Block B04 - HT01 semi pair - plots 09, 10  (1 floor × 2 gang-days)</t>
        </is>
      </c>
      <c r="C20" s="50" t="inlineStr">
        <is>
          <t>gang-day</t>
        </is>
      </c>
      <c r="D20" s="52" t="n">
        <v>2</v>
      </c>
      <c r="E20" s="49" t="n"/>
      <c r="F20" s="53">
        <f>IF(AND(ISNUMBER(D20),ISNUMBER(E20)),D20*E20,0)</f>
        <v/>
      </c>
    </row>
    <row r="21">
      <c r="A21" s="46" t="inlineStr">
        <is>
          <t>D.2</t>
        </is>
      </c>
      <c r="B21" s="47" t="inlineStr">
        <is>
          <t>Floor structure — Block B05 - HT01 terrace of 3 - plots 11, 12, 13  (1 floor × 3 gang-days)</t>
        </is>
      </c>
      <c r="C21" s="46" t="inlineStr">
        <is>
          <t>gang-day</t>
        </is>
      </c>
      <c r="D21" s="48" t="n">
        <v>3</v>
      </c>
      <c r="E21" s="49" t="n"/>
      <c r="F21" s="37">
        <f>IF(AND(ISNUMBER(D21),ISNUMBER(E21)),D21*E21,0)</f>
        <v/>
      </c>
    </row>
    <row r="22">
      <c r="A22" s="50" t="inlineStr">
        <is>
          <t>D.2</t>
        </is>
      </c>
      <c r="B22" s="51" t="inlineStr">
        <is>
          <t>Floor structure — Block B08 - HT01 terrace of 3 - plots 16, 17, 18  (1 floor × 3 gang-days)</t>
        </is>
      </c>
      <c r="C22" s="50" t="inlineStr">
        <is>
          <t>gang-day</t>
        </is>
      </c>
      <c r="D22" s="52" t="n">
        <v>3</v>
      </c>
      <c r="E22" s="49" t="n"/>
      <c r="F22" s="53">
        <f>IF(AND(ISNUMBER(D22),ISNUMBER(E22)),D22*E22,0)</f>
        <v/>
      </c>
    </row>
    <row r="24" ht="20" customHeight="1">
      <c r="A24" s="59" t="inlineStr">
        <is>
          <t xml:space="preserve">  D.3  —  Roof Structure Labour  (trusses + rafters, all-timber)</t>
        </is>
      </c>
    </row>
    <row r="25">
      <c r="A25" s="46" t="inlineStr">
        <is>
          <t>D.3</t>
        </is>
      </c>
      <c r="B25" s="47" t="inlineStr">
        <is>
          <t>Roof structure — Block B01 - HT01 semi pair - plots 01, 02</t>
        </is>
      </c>
      <c r="C25" s="46" t="inlineStr">
        <is>
          <t>gang-day</t>
        </is>
      </c>
      <c r="D25" s="48" t="n">
        <v>2</v>
      </c>
      <c r="E25" s="49" t="n"/>
      <c r="F25" s="37">
        <f>IF(AND(ISNUMBER(D25),ISNUMBER(E25)),D25*E25,0)</f>
        <v/>
      </c>
    </row>
    <row r="26">
      <c r="A26" s="50" t="inlineStr">
        <is>
          <t>D.3</t>
        </is>
      </c>
      <c r="B26" s="51" t="inlineStr">
        <is>
          <t>Roof structure — Block B02 - HT01 terrace of 3 - plots 03, 04, 05</t>
        </is>
      </c>
      <c r="C26" s="50" t="inlineStr">
        <is>
          <t>gang-day</t>
        </is>
      </c>
      <c r="D26" s="52" t="n">
        <v>3</v>
      </c>
      <c r="E26" s="49" t="n"/>
      <c r="F26" s="53">
        <f>IF(AND(ISNUMBER(D26),ISNUMBER(E26)),D26*E26,0)</f>
        <v/>
      </c>
    </row>
    <row r="27">
      <c r="A27" s="46" t="inlineStr">
        <is>
          <t>D.3</t>
        </is>
      </c>
      <c r="B27" s="47" t="inlineStr">
        <is>
          <t>Roof structure — Block B03 - HT01 terrace of 3 - plots 06, 07, 08</t>
        </is>
      </c>
      <c r="C27" s="46" t="inlineStr">
        <is>
          <t>gang-day</t>
        </is>
      </c>
      <c r="D27" s="48" t="n">
        <v>3</v>
      </c>
      <c r="E27" s="49" t="n"/>
      <c r="F27" s="37">
        <f>IF(AND(ISNUMBER(D27),ISNUMBER(E27)),D27*E27,0)</f>
        <v/>
      </c>
    </row>
    <row r="28">
      <c r="A28" s="50" t="inlineStr">
        <is>
          <t>D.3</t>
        </is>
      </c>
      <c r="B28" s="51" t="inlineStr">
        <is>
          <t>Roof structure — Block B04 - HT01 semi pair - plots 09, 10</t>
        </is>
      </c>
      <c r="C28" s="50" t="inlineStr">
        <is>
          <t>gang-day</t>
        </is>
      </c>
      <c r="D28" s="52" t="n">
        <v>2</v>
      </c>
      <c r="E28" s="49" t="n"/>
      <c r="F28" s="53">
        <f>IF(AND(ISNUMBER(D28),ISNUMBER(E28)),D28*E28,0)</f>
        <v/>
      </c>
    </row>
    <row r="29">
      <c r="A29" s="46" t="inlineStr">
        <is>
          <t>D.3</t>
        </is>
      </c>
      <c r="B29" s="47" t="inlineStr">
        <is>
          <t>Roof structure — Block B05 - HT01 terrace of 3 - plots 11, 12, 13</t>
        </is>
      </c>
      <c r="C29" s="46" t="inlineStr">
        <is>
          <t>gang-day</t>
        </is>
      </c>
      <c r="D29" s="48" t="n">
        <v>3</v>
      </c>
      <c r="E29" s="49" t="n"/>
      <c r="F29" s="37">
        <f>IF(AND(ISNUMBER(D29),ISNUMBER(E29)),D29*E29,0)</f>
        <v/>
      </c>
    </row>
    <row r="30">
      <c r="A30" s="50" t="inlineStr">
        <is>
          <t>D.3</t>
        </is>
      </c>
      <c r="B30" s="51" t="inlineStr">
        <is>
          <t>Roof structure — Block B06 - HT02 bungalow - plots 14</t>
        </is>
      </c>
      <c r="C30" s="50" t="inlineStr">
        <is>
          <t>gang-day</t>
        </is>
      </c>
      <c r="D30" s="52" t="n">
        <v>1</v>
      </c>
      <c r="E30" s="49" t="n"/>
      <c r="F30" s="53">
        <f>IF(AND(ISNUMBER(D30),ISNUMBER(E30)),D30*E30,0)</f>
        <v/>
      </c>
    </row>
    <row r="31">
      <c r="A31" s="46" t="inlineStr">
        <is>
          <t>D.3</t>
        </is>
      </c>
      <c r="B31" s="47" t="inlineStr">
        <is>
          <t>Roof structure — Block B07 - HT02 bungalow - plots 15</t>
        </is>
      </c>
      <c r="C31" s="46" t="inlineStr">
        <is>
          <t>gang-day</t>
        </is>
      </c>
      <c r="D31" s="48" t="n">
        <v>1</v>
      </c>
      <c r="E31" s="49" t="n"/>
      <c r="F31" s="37">
        <f>IF(AND(ISNUMBER(D31),ISNUMBER(E31)),D31*E31,0)</f>
        <v/>
      </c>
    </row>
    <row r="32">
      <c r="A32" s="50" t="inlineStr">
        <is>
          <t>D.3</t>
        </is>
      </c>
      <c r="B32" s="51" t="inlineStr">
        <is>
          <t>Roof structure — Block B08 - HT01 terrace of 3 - plots 16, 17, 18</t>
        </is>
      </c>
      <c r="C32" s="50" t="inlineStr">
        <is>
          <t>gang-day</t>
        </is>
      </c>
      <c r="D32" s="52" t="n">
        <v>3</v>
      </c>
      <c r="E32" s="49" t="n"/>
      <c r="F32" s="53">
        <f>IF(AND(ISNUMBER(D32),ISNUMBER(E32)),D32*E32,0)</f>
        <v/>
      </c>
    </row>
    <row r="34" ht="24" customHeight="1">
      <c r="A34" s="55" t="n"/>
      <c r="B34" s="56" t="inlineStr">
        <is>
          <t>D  —  LABOUR SUBTOTAL</t>
        </is>
      </c>
      <c r="C34" s="55" t="n"/>
      <c r="D34" s="55" t="n"/>
      <c r="E34" s="55" t="n"/>
      <c r="F34" s="57">
        <f>SUM(F5:F32)</f>
        <v/>
      </c>
    </row>
    <row r="1000">
      <c r="F1000" s="58">
        <f>F34</f>
        <v/>
      </c>
    </row>
  </sheetData>
  <mergeCells count="5">
    <mergeCell ref="A24:F24"/>
    <mergeCell ref="A2:F2"/>
    <mergeCell ref="A16:F16"/>
    <mergeCell ref="A1:F1"/>
    <mergeCell ref="A5:F5"/>
  </mergeCells>
  <printOptions horizontalCentered="1"/>
  <pageMargins left="0.5" right="0.5" top="0.6" bottom="0.6" header="0.3" footer="0.3"/>
  <pageSetup orientation="portrait" paperSize="9" fitToHeight="0" fitToWidth="1"/>
  <headerFooter>
    <oddHeader/>
    <oddFooter>&amp;L&amp;9 &amp;K5A6C7DLand to Rear of 1-8 Wesley Terrace, Castleside  ·  ES26-080&amp;C&amp;9 &amp;K5A6C7DPage &amp;P of &amp;N&amp;R&amp;9 &amp;K5A6C7DIssued 19 Oct 2026</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G50"/>
  <sheetViews>
    <sheetView showGridLines="0" workbookViewId="0">
      <selection activeCell="A1" sqref="A1"/>
    </sheetView>
  </sheetViews>
  <sheetFormatPr baseColWidth="8" defaultRowHeight="15"/>
  <cols>
    <col width="14" customWidth="1" min="1" max="1"/>
    <col width="12" customWidth="1" min="2" max="2"/>
    <col width="12" customWidth="1" min="3" max="3"/>
    <col width="14" customWidth="1" min="4" max="4"/>
    <col width="14" customWidth="1" min="5" max="5"/>
    <col width="12" customWidth="1" min="6" max="6"/>
    <col width="12" customWidth="1" min="7" max="7"/>
  </cols>
  <sheetData>
    <row r="1" ht="28" customHeight="1">
      <c r="A1" s="21" t="inlineStr">
        <is>
          <t xml:space="preserve">  F  ·  REFERENCE DATA  (informative only)</t>
        </is>
      </c>
    </row>
    <row r="2" ht="26" customHeight="1">
      <c r="A2" s="22" t="inlineStr">
        <is>
          <t>Per-group quantities calculated from the BuildEase take-off models. Values feed into Sections C and D. Render is excluded from this BOQ.</t>
        </is>
      </c>
    </row>
    <row r="4" ht="24" customHeight="1">
      <c r="A4" s="11" t="inlineStr">
        <is>
          <t>Group</t>
        </is>
      </c>
      <c r="B4" s="11" t="inlineStr">
        <is>
          <t>Plots</t>
        </is>
      </c>
      <c r="C4" s="11" t="inlineStr">
        <is>
          <t>Forms</t>
        </is>
      </c>
      <c r="D4" s="11" t="inlineStr">
        <is>
          <t>Concrete (m³)</t>
        </is>
      </c>
      <c r="E4" s="11" t="inlineStr">
        <is>
          <t>ICF install days</t>
        </is>
      </c>
      <c r="F4" s="11" t="inlineStr">
        <is>
          <t>Floor + Roof days</t>
        </is>
      </c>
      <c r="G4" s="11" t="inlineStr">
        <is>
          <t>Pre-cut (£)</t>
        </is>
      </c>
    </row>
    <row r="5">
      <c r="A5" s="13" t="inlineStr">
        <is>
          <t>Block B01 - HT01 semi pair - plots 01, 02</t>
        </is>
      </c>
      <c r="B5" s="26" t="n">
        <v>2</v>
      </c>
      <c r="C5" s="26" t="n">
        <v>389</v>
      </c>
      <c r="D5" s="61" t="n">
        <v>62.77</v>
      </c>
      <c r="E5" s="61" t="n">
        <v>7.4</v>
      </c>
      <c r="F5" s="48" t="n">
        <v>4</v>
      </c>
      <c r="G5" s="37" t="n">
        <v>1689.77</v>
      </c>
    </row>
    <row r="6">
      <c r="A6" s="17" t="inlineStr">
        <is>
          <t>Block B02 - HT01 terrace of 3 - plots 03, 04, 05</t>
        </is>
      </c>
      <c r="B6" s="62" t="n">
        <v>3</v>
      </c>
      <c r="C6" s="62" t="n">
        <v>508</v>
      </c>
      <c r="D6" s="60" t="n">
        <v>83.05</v>
      </c>
      <c r="E6" s="60" t="n">
        <v>9.6</v>
      </c>
      <c r="F6" s="52" t="n">
        <v>6</v>
      </c>
      <c r="G6" s="53" t="n">
        <v>2017.35</v>
      </c>
    </row>
    <row r="7">
      <c r="A7" s="13" t="inlineStr">
        <is>
          <t>Block B03 - HT01 terrace of 3 - plots 06, 07, 08</t>
        </is>
      </c>
      <c r="B7" s="26" t="n">
        <v>3</v>
      </c>
      <c r="C7" s="26" t="n">
        <v>521</v>
      </c>
      <c r="D7" s="61" t="n">
        <v>85.14</v>
      </c>
      <c r="E7" s="61" t="n">
        <v>9.9</v>
      </c>
      <c r="F7" s="48" t="n">
        <v>6</v>
      </c>
      <c r="G7" s="37" t="n">
        <v>1322.49</v>
      </c>
    </row>
    <row r="8">
      <c r="A8" s="17" t="inlineStr">
        <is>
          <t>Block B04 - HT01 semi pair - plots 09, 10</t>
        </is>
      </c>
      <c r="B8" s="62" t="n">
        <v>2</v>
      </c>
      <c r="C8" s="62" t="n">
        <v>380</v>
      </c>
      <c r="D8" s="60" t="n">
        <v>61.24</v>
      </c>
      <c r="E8" s="60" t="n">
        <v>7.2</v>
      </c>
      <c r="F8" s="52" t="n">
        <v>4</v>
      </c>
      <c r="G8" s="53" t="n">
        <v>1029.5</v>
      </c>
    </row>
    <row r="9">
      <c r="A9" s="13" t="inlineStr">
        <is>
          <t>Block B05 - HT01 terrace of 3 - plots 11, 12, 13</t>
        </is>
      </c>
      <c r="B9" s="26" t="n">
        <v>3</v>
      </c>
      <c r="C9" s="26" t="n">
        <v>526</v>
      </c>
      <c r="D9" s="61" t="n">
        <v>85.98999999999999</v>
      </c>
      <c r="E9" s="61" t="n">
        <v>10</v>
      </c>
      <c r="F9" s="48" t="n">
        <v>6</v>
      </c>
      <c r="G9" s="37" t="n">
        <v>1331.98</v>
      </c>
    </row>
    <row r="10">
      <c r="A10" s="17" t="inlineStr">
        <is>
          <t>Block B06 - HT02 bungalow - plots 14</t>
        </is>
      </c>
      <c r="B10" s="62" t="n">
        <v>1</v>
      </c>
      <c r="C10" s="62" t="n">
        <v>122</v>
      </c>
      <c r="D10" s="60" t="n">
        <v>18.92</v>
      </c>
      <c r="E10" s="60" t="n">
        <v>2.3</v>
      </c>
      <c r="F10" s="52" t="n">
        <v>1</v>
      </c>
      <c r="G10" s="53" t="n">
        <v>1116.94</v>
      </c>
    </row>
    <row r="11">
      <c r="A11" s="13" t="inlineStr">
        <is>
          <t>Block B07 - HT02 bungalow - plots 15</t>
        </is>
      </c>
      <c r="B11" s="26" t="n">
        <v>1</v>
      </c>
      <c r="C11" s="26" t="n">
        <v>129</v>
      </c>
      <c r="D11" s="61" t="n">
        <v>20</v>
      </c>
      <c r="E11" s="61" t="n">
        <v>2.5</v>
      </c>
      <c r="F11" s="48" t="n">
        <v>1</v>
      </c>
      <c r="G11" s="37" t="n">
        <v>657.5599999999999</v>
      </c>
    </row>
    <row r="12">
      <c r="A12" s="17" t="inlineStr">
        <is>
          <t>Block B08 - HT01 terrace of 3 - plots 16, 17, 18</t>
        </is>
      </c>
      <c r="B12" s="62" t="n">
        <v>3</v>
      </c>
      <c r="C12" s="62" t="n">
        <v>518</v>
      </c>
      <c r="D12" s="60" t="n">
        <v>84.63</v>
      </c>
      <c r="E12" s="60" t="n">
        <v>9.800000000000001</v>
      </c>
      <c r="F12" s="52" t="n">
        <v>6</v>
      </c>
      <c r="G12" s="53" t="n">
        <v>1290.28</v>
      </c>
    </row>
    <row r="13" ht="26" customHeight="1">
      <c r="A13" s="63" t="inlineStr">
        <is>
          <t>SITE</t>
        </is>
      </c>
      <c r="B13" s="64" t="n">
        <v>18</v>
      </c>
      <c r="C13" s="64" t="n">
        <v>3093</v>
      </c>
      <c r="D13" s="65" t="n">
        <v>501.75</v>
      </c>
      <c r="E13" s="65" t="n">
        <v>58.7</v>
      </c>
      <c r="F13" s="66" t="n">
        <v>34</v>
      </c>
      <c r="G13" s="67" t="n">
        <v>10455.87</v>
      </c>
    </row>
    <row r="16" ht="22" customHeight="1">
      <c r="A16" s="68" t="inlineStr">
        <is>
          <t xml:space="preserve">  PER-LIFT FORM BREAKDOWN</t>
        </is>
      </c>
    </row>
    <row r="17" ht="24" customHeight="1">
      <c r="A17" s="11" t="inlineStr">
        <is>
          <t>Group</t>
        </is>
      </c>
      <c r="B17" s="11" t="inlineStr">
        <is>
          <t>Lift</t>
        </is>
      </c>
      <c r="C17" s="11" t="inlineStr">
        <is>
          <t>4" Std</t>
        </is>
      </c>
      <c r="D17" s="11" t="inlineStr">
        <is>
          <t>6" XR35 str</t>
        </is>
      </c>
      <c r="E17" s="11" t="inlineStr">
        <is>
          <t>6" XR35 cnr</t>
        </is>
      </c>
      <c r="F17" s="11" t="inlineStr">
        <is>
          <t>10" Std</t>
        </is>
      </c>
      <c r="G17" s="11" t="inlineStr">
        <is>
          <t>Lift total</t>
        </is>
      </c>
    </row>
    <row r="18">
      <c r="A18" s="50" t="inlineStr">
        <is>
          <t>Block B01 - HT01 semi pair - plots 01, 02</t>
        </is>
      </c>
      <c r="B18" s="50" t="inlineStr">
        <is>
          <t>FB</t>
        </is>
      </c>
      <c r="C18" s="52" t="n">
        <v>0</v>
      </c>
      <c r="D18" s="52" t="n">
        <v>57</v>
      </c>
      <c r="E18" s="52" t="n">
        <v>11</v>
      </c>
      <c r="F18" s="52" t="n">
        <v>0</v>
      </c>
      <c r="G18" s="52" t="n">
        <v>68</v>
      </c>
    </row>
    <row r="19">
      <c r="A19" s="46" t="inlineStr">
        <is>
          <t>Block B01 - HT01 semi pair - plots 01, 02</t>
        </is>
      </c>
      <c r="B19" s="46" t="inlineStr">
        <is>
          <t>L1</t>
        </is>
      </c>
      <c r="C19" s="48" t="n">
        <v>0</v>
      </c>
      <c r="D19" s="48" t="n">
        <v>109</v>
      </c>
      <c r="E19" s="48" t="n">
        <v>24</v>
      </c>
      <c r="F19" s="48" t="n">
        <v>0</v>
      </c>
      <c r="G19" s="48" t="n">
        <v>133</v>
      </c>
    </row>
    <row r="20">
      <c r="A20" s="50" t="inlineStr">
        <is>
          <t>Block B01 - HT01 semi pair - plots 01, 02</t>
        </is>
      </c>
      <c r="B20" s="50" t="inlineStr">
        <is>
          <t>L2</t>
        </is>
      </c>
      <c r="C20" s="52" t="n">
        <v>0</v>
      </c>
      <c r="D20" s="52" t="n">
        <v>164</v>
      </c>
      <c r="E20" s="52" t="n">
        <v>24</v>
      </c>
      <c r="F20" s="52" t="n">
        <v>0</v>
      </c>
      <c r="G20" s="52" t="n">
        <v>188</v>
      </c>
    </row>
    <row r="21">
      <c r="A21" s="46" t="inlineStr">
        <is>
          <t>Block B02 - HT01 terrace of 3 - plots 03, 04, 05</t>
        </is>
      </c>
      <c r="B21" s="46" t="inlineStr">
        <is>
          <t>FB</t>
        </is>
      </c>
      <c r="C21" s="48" t="n">
        <v>0</v>
      </c>
      <c r="D21" s="48" t="n">
        <v>70</v>
      </c>
      <c r="E21" s="48" t="n">
        <v>10</v>
      </c>
      <c r="F21" s="48" t="n">
        <v>0</v>
      </c>
      <c r="G21" s="48" t="n">
        <v>80</v>
      </c>
    </row>
    <row r="22">
      <c r="A22" s="50" t="inlineStr">
        <is>
          <t>Block B02 - HT01 terrace of 3 - plots 03, 04, 05</t>
        </is>
      </c>
      <c r="B22" s="50" t="inlineStr">
        <is>
          <t>L1</t>
        </is>
      </c>
      <c r="C22" s="52" t="n">
        <v>0</v>
      </c>
      <c r="D22" s="52" t="n">
        <v>154</v>
      </c>
      <c r="E22" s="52" t="n">
        <v>24</v>
      </c>
      <c r="F22" s="52" t="n">
        <v>0</v>
      </c>
      <c r="G22" s="52" t="n">
        <v>178</v>
      </c>
    </row>
    <row r="23">
      <c r="A23" s="46" t="inlineStr">
        <is>
          <t>Block B02 - HT01 terrace of 3 - plots 03, 04, 05</t>
        </is>
      </c>
      <c r="B23" s="46" t="inlineStr">
        <is>
          <t>L2</t>
        </is>
      </c>
      <c r="C23" s="48" t="n">
        <v>0</v>
      </c>
      <c r="D23" s="48" t="n">
        <v>226</v>
      </c>
      <c r="E23" s="48" t="n">
        <v>24</v>
      </c>
      <c r="F23" s="48" t="n">
        <v>0</v>
      </c>
      <c r="G23" s="48" t="n">
        <v>250</v>
      </c>
    </row>
    <row r="24">
      <c r="A24" s="50" t="inlineStr">
        <is>
          <t>Block B03 - HT01 terrace of 3 - plots 06, 07, 08</t>
        </is>
      </c>
      <c r="B24" s="50" t="inlineStr">
        <is>
          <t>FB</t>
        </is>
      </c>
      <c r="C24" s="52" t="n">
        <v>0</v>
      </c>
      <c r="D24" s="52" t="n">
        <v>81</v>
      </c>
      <c r="E24" s="52" t="n">
        <v>12</v>
      </c>
      <c r="F24" s="52" t="n">
        <v>0</v>
      </c>
      <c r="G24" s="52" t="n">
        <v>93</v>
      </c>
    </row>
    <row r="25">
      <c r="A25" s="46" t="inlineStr">
        <is>
          <t>Block B03 - HT01 terrace of 3 - plots 06, 07, 08</t>
        </is>
      </c>
      <c r="B25" s="46" t="inlineStr">
        <is>
          <t>L1</t>
        </is>
      </c>
      <c r="C25" s="48" t="n">
        <v>0</v>
      </c>
      <c r="D25" s="48" t="n">
        <v>154</v>
      </c>
      <c r="E25" s="48" t="n">
        <v>24</v>
      </c>
      <c r="F25" s="48" t="n">
        <v>0</v>
      </c>
      <c r="G25" s="48" t="n">
        <v>178</v>
      </c>
    </row>
    <row r="26">
      <c r="A26" s="50" t="inlineStr">
        <is>
          <t>Block B03 - HT01 terrace of 3 - plots 06, 07, 08</t>
        </is>
      </c>
      <c r="B26" s="50" t="inlineStr">
        <is>
          <t>L2</t>
        </is>
      </c>
      <c r="C26" s="52" t="n">
        <v>0</v>
      </c>
      <c r="D26" s="52" t="n">
        <v>226</v>
      </c>
      <c r="E26" s="52" t="n">
        <v>24</v>
      </c>
      <c r="F26" s="52" t="n">
        <v>0</v>
      </c>
      <c r="G26" s="52" t="n">
        <v>250</v>
      </c>
    </row>
    <row r="27">
      <c r="A27" s="46" t="inlineStr">
        <is>
          <t>Block B04 - HT01 semi pair - plots 09, 10</t>
        </is>
      </c>
      <c r="B27" s="46" t="inlineStr">
        <is>
          <t>FB</t>
        </is>
      </c>
      <c r="C27" s="48" t="n">
        <v>0</v>
      </c>
      <c r="D27" s="48" t="n">
        <v>48</v>
      </c>
      <c r="E27" s="48" t="n">
        <v>11</v>
      </c>
      <c r="F27" s="48" t="n">
        <v>0</v>
      </c>
      <c r="G27" s="48" t="n">
        <v>59</v>
      </c>
    </row>
    <row r="28">
      <c r="A28" s="50" t="inlineStr">
        <is>
          <t>Block B04 - HT01 semi pair - plots 09, 10</t>
        </is>
      </c>
      <c r="B28" s="50" t="inlineStr">
        <is>
          <t>L1</t>
        </is>
      </c>
      <c r="C28" s="52" t="n">
        <v>0</v>
      </c>
      <c r="D28" s="52" t="n">
        <v>109</v>
      </c>
      <c r="E28" s="52" t="n">
        <v>24</v>
      </c>
      <c r="F28" s="52" t="n">
        <v>0</v>
      </c>
      <c r="G28" s="52" t="n">
        <v>133</v>
      </c>
    </row>
    <row r="29">
      <c r="A29" s="46" t="inlineStr">
        <is>
          <t>Block B04 - HT01 semi pair - plots 09, 10</t>
        </is>
      </c>
      <c r="B29" s="46" t="inlineStr">
        <is>
          <t>L2</t>
        </is>
      </c>
      <c r="C29" s="48" t="n">
        <v>0</v>
      </c>
      <c r="D29" s="48" t="n">
        <v>164</v>
      </c>
      <c r="E29" s="48" t="n">
        <v>24</v>
      </c>
      <c r="F29" s="48" t="n">
        <v>0</v>
      </c>
      <c r="G29" s="48" t="n">
        <v>188</v>
      </c>
    </row>
    <row r="30">
      <c r="A30" s="50" t="inlineStr">
        <is>
          <t>Block B05 - HT01 terrace of 3 - plots 11, 12, 13</t>
        </is>
      </c>
      <c r="B30" s="50" t="inlineStr">
        <is>
          <t>FB</t>
        </is>
      </c>
      <c r="C30" s="52" t="n">
        <v>0</v>
      </c>
      <c r="D30" s="52" t="n">
        <v>86</v>
      </c>
      <c r="E30" s="52" t="n">
        <v>12</v>
      </c>
      <c r="F30" s="52" t="n">
        <v>0</v>
      </c>
      <c r="G30" s="52" t="n">
        <v>98</v>
      </c>
    </row>
    <row r="31">
      <c r="A31" s="46" t="inlineStr">
        <is>
          <t>Block B05 - HT01 terrace of 3 - plots 11, 12, 13</t>
        </is>
      </c>
      <c r="B31" s="46" t="inlineStr">
        <is>
          <t>L1</t>
        </is>
      </c>
      <c r="C31" s="48" t="n">
        <v>0</v>
      </c>
      <c r="D31" s="48" t="n">
        <v>154</v>
      </c>
      <c r="E31" s="48" t="n">
        <v>24</v>
      </c>
      <c r="F31" s="48" t="n">
        <v>0</v>
      </c>
      <c r="G31" s="48" t="n">
        <v>178</v>
      </c>
    </row>
    <row r="32">
      <c r="A32" s="50" t="inlineStr">
        <is>
          <t>Block B05 - HT01 terrace of 3 - plots 11, 12, 13</t>
        </is>
      </c>
      <c r="B32" s="50" t="inlineStr">
        <is>
          <t>L2</t>
        </is>
      </c>
      <c r="C32" s="52" t="n">
        <v>0</v>
      </c>
      <c r="D32" s="52" t="n">
        <v>226</v>
      </c>
      <c r="E32" s="52" t="n">
        <v>24</v>
      </c>
      <c r="F32" s="52" t="n">
        <v>0</v>
      </c>
      <c r="G32" s="52" t="n">
        <v>250</v>
      </c>
    </row>
    <row r="33">
      <c r="A33" s="46" t="inlineStr">
        <is>
          <t>Block B06 - HT02 bungalow - plots 14</t>
        </is>
      </c>
      <c r="B33" s="46" t="inlineStr">
        <is>
          <t>FB</t>
        </is>
      </c>
      <c r="C33" s="48" t="n">
        <v>0</v>
      </c>
      <c r="D33" s="48" t="n">
        <v>37</v>
      </c>
      <c r="E33" s="48" t="n">
        <v>12</v>
      </c>
      <c r="F33" s="48" t="n">
        <v>0</v>
      </c>
      <c r="G33" s="48" t="n">
        <v>49</v>
      </c>
    </row>
    <row r="34">
      <c r="A34" s="50" t="inlineStr">
        <is>
          <t>Block B06 - HT02 bungalow - plots 14</t>
        </is>
      </c>
      <c r="B34" s="50" t="inlineStr">
        <is>
          <t>L1</t>
        </is>
      </c>
      <c r="C34" s="52" t="n">
        <v>0</v>
      </c>
      <c r="D34" s="52" t="n">
        <v>53</v>
      </c>
      <c r="E34" s="52" t="n">
        <v>20</v>
      </c>
      <c r="F34" s="52" t="n">
        <v>0</v>
      </c>
      <c r="G34" s="52" t="n">
        <v>73</v>
      </c>
    </row>
    <row r="35">
      <c r="A35" s="46" t="inlineStr">
        <is>
          <t>Block B07 - HT02 bungalow - plots 15</t>
        </is>
      </c>
      <c r="B35" s="46" t="inlineStr">
        <is>
          <t>FB</t>
        </is>
      </c>
      <c r="C35" s="48" t="n">
        <v>0</v>
      </c>
      <c r="D35" s="48" t="n">
        <v>42</v>
      </c>
      <c r="E35" s="48" t="n">
        <v>14</v>
      </c>
      <c r="F35" s="48" t="n">
        <v>0</v>
      </c>
      <c r="G35" s="48" t="n">
        <v>56</v>
      </c>
    </row>
    <row r="36">
      <c r="A36" s="50" t="inlineStr">
        <is>
          <t>Block B07 - HT02 bungalow - plots 15</t>
        </is>
      </c>
      <c r="B36" s="50" t="inlineStr">
        <is>
          <t>L1</t>
        </is>
      </c>
      <c r="C36" s="52" t="n">
        <v>0</v>
      </c>
      <c r="D36" s="52" t="n">
        <v>53</v>
      </c>
      <c r="E36" s="52" t="n">
        <v>20</v>
      </c>
      <c r="F36" s="52" t="n">
        <v>0</v>
      </c>
      <c r="G36" s="52" t="n">
        <v>73</v>
      </c>
    </row>
    <row r="37">
      <c r="A37" s="46" t="inlineStr">
        <is>
          <t>Block B08 - HT01 terrace of 3 - plots 16, 17, 18</t>
        </is>
      </c>
      <c r="B37" s="46" t="inlineStr">
        <is>
          <t>FB</t>
        </is>
      </c>
      <c r="C37" s="48" t="n">
        <v>0</v>
      </c>
      <c r="D37" s="48" t="n">
        <v>78</v>
      </c>
      <c r="E37" s="48" t="n">
        <v>12</v>
      </c>
      <c r="F37" s="48" t="n">
        <v>0</v>
      </c>
      <c r="G37" s="48" t="n">
        <v>90</v>
      </c>
    </row>
    <row r="38">
      <c r="A38" s="50" t="inlineStr">
        <is>
          <t>Block B08 - HT01 terrace of 3 - plots 16, 17, 18</t>
        </is>
      </c>
      <c r="B38" s="50" t="inlineStr">
        <is>
          <t>L1</t>
        </is>
      </c>
      <c r="C38" s="52" t="n">
        <v>0</v>
      </c>
      <c r="D38" s="52" t="n">
        <v>154</v>
      </c>
      <c r="E38" s="52" t="n">
        <v>24</v>
      </c>
      <c r="F38" s="52" t="n">
        <v>0</v>
      </c>
      <c r="G38" s="52" t="n">
        <v>178</v>
      </c>
    </row>
    <row r="39">
      <c r="A39" s="46" t="inlineStr">
        <is>
          <t>Block B08 - HT01 terrace of 3 - plots 16, 17, 18</t>
        </is>
      </c>
      <c r="B39" s="46" t="inlineStr">
        <is>
          <t>L2</t>
        </is>
      </c>
      <c r="C39" s="48" t="n">
        <v>0</v>
      </c>
      <c r="D39" s="48" t="n">
        <v>226</v>
      </c>
      <c r="E39" s="48" t="n">
        <v>24</v>
      </c>
      <c r="F39" s="48" t="n">
        <v>0</v>
      </c>
      <c r="G39" s="48" t="n">
        <v>250</v>
      </c>
    </row>
    <row r="42" ht="22" customHeight="1">
      <c r="A42" s="68" t="inlineStr">
        <is>
          <t xml:space="preserve">  GEOMETRIC CONSTANTS  &amp;  CALCULATION BASIS</t>
        </is>
      </c>
    </row>
    <row r="43">
      <c r="A43" s="25" t="inlineStr">
        <is>
          <t>Block length</t>
        </is>
      </c>
      <c r="B43" s="7" t="n"/>
      <c r="C43" s="13" t="inlineStr">
        <is>
          <t>2.438 m</t>
        </is>
      </c>
      <c r="D43" s="7" t="n"/>
      <c r="E43" s="69" t="inlineStr">
        <is>
          <t>96 inches</t>
        </is>
      </c>
      <c r="F43" s="7" t="n"/>
      <c r="G43" s="7" t="n"/>
    </row>
    <row r="44">
      <c r="A44" s="25" t="inlineStr">
        <is>
          <t>Course height</t>
        </is>
      </c>
      <c r="B44" s="7" t="n"/>
      <c r="C44" s="13" t="inlineStr">
        <is>
          <t>0.4574 m</t>
        </is>
      </c>
      <c r="D44" s="7" t="n"/>
      <c r="E44" s="69" t="inlineStr">
        <is>
          <t>18 inches</t>
        </is>
      </c>
      <c r="F44" s="7" t="n"/>
      <c r="G44" s="7" t="n"/>
    </row>
    <row r="45">
      <c r="A45" s="25" t="inlineStr">
        <is>
          <t>4" Std straight volume</t>
        </is>
      </c>
      <c r="B45" s="7" t="n"/>
      <c r="C45" s="13" t="inlineStr">
        <is>
          <t>0.1133 m³</t>
        </is>
      </c>
      <c r="D45" s="7" t="n"/>
      <c r="E45" s="69">
        <f> length × course × core</f>
        <v/>
      </c>
      <c r="F45" s="7" t="n"/>
      <c r="G45" s="7" t="n"/>
    </row>
    <row r="46">
      <c r="A46" s="25" t="inlineStr">
        <is>
          <t>6" XR35 straight volume</t>
        </is>
      </c>
      <c r="B46" s="7" t="n"/>
      <c r="C46" s="13" t="inlineStr">
        <is>
          <t>0.1699 m³</t>
        </is>
      </c>
      <c r="D46" s="7" t="n"/>
      <c r="E46" s="69">
        <f> length × course × core</f>
        <v/>
      </c>
      <c r="F46" s="7" t="n"/>
      <c r="G46" s="7" t="n"/>
    </row>
    <row r="47">
      <c r="A47" s="25" t="inlineStr">
        <is>
          <t>10" Std straight volume</t>
        </is>
      </c>
      <c r="B47" s="7" t="n"/>
      <c r="C47" s="13" t="inlineStr">
        <is>
          <t>0.2832 m³</t>
        </is>
      </c>
      <c r="D47" s="7" t="n"/>
      <c r="E47" s="69">
        <f> length × course × core</f>
        <v/>
      </c>
      <c r="F47" s="7" t="n"/>
      <c r="G47" s="7" t="n"/>
    </row>
    <row r="48">
      <c r="A48" s="25" t="inlineStr">
        <is>
          <t>4" Std corner volume</t>
        </is>
      </c>
      <c r="B48" s="7" t="n"/>
      <c r="C48" s="13" t="inlineStr">
        <is>
          <t>0.0511 m³</t>
        </is>
      </c>
      <c r="D48" s="7" t="n"/>
      <c r="E48" s="69" t="inlineStr">
        <is>
          <t>L-void; long 31.625" / short 15.625"</t>
        </is>
      </c>
      <c r="F48" s="7" t="n"/>
      <c r="G48" s="7" t="n"/>
    </row>
    <row r="49">
      <c r="A49" s="25" t="inlineStr">
        <is>
          <t>6" XR35 corner volume</t>
        </is>
      </c>
      <c r="B49" s="7" t="n"/>
      <c r="C49" s="13" t="inlineStr">
        <is>
          <t>0.1133 m³</t>
        </is>
      </c>
      <c r="D49" s="7" t="n"/>
      <c r="E49" s="69" t="inlineStr">
        <is>
          <t>L-void; long 43" / short 27"</t>
        </is>
      </c>
      <c r="F49" s="7" t="n"/>
      <c r="G49" s="7" t="n"/>
    </row>
    <row r="50">
      <c r="A50" s="25" t="inlineStr">
        <is>
          <t>Maycroft install rate</t>
        </is>
      </c>
      <c r="B50" s="7" t="n"/>
      <c r="C50" s="13" t="inlineStr">
        <is>
          <t>52.65 forms/day</t>
        </is>
      </c>
      <c r="D50" s="7" t="n"/>
      <c r="E50" s="69" t="inlineStr">
        <is>
          <t>Reference: 1053 forms ÷ 20 days</t>
        </is>
      </c>
      <c r="F50" s="7" t="n"/>
      <c r="G50" s="7" t="n"/>
    </row>
  </sheetData>
  <mergeCells count="28">
    <mergeCell ref="A48:B48"/>
    <mergeCell ref="A49:B49"/>
    <mergeCell ref="A45:B45"/>
    <mergeCell ref="C45:D45"/>
    <mergeCell ref="E46:G46"/>
    <mergeCell ref="C47:D47"/>
    <mergeCell ref="E49:G49"/>
    <mergeCell ref="E45:G45"/>
    <mergeCell ref="A46:B46"/>
    <mergeCell ref="C50:D50"/>
    <mergeCell ref="C44:D44"/>
    <mergeCell ref="A50:B50"/>
    <mergeCell ref="C43:D43"/>
    <mergeCell ref="C49:D49"/>
    <mergeCell ref="A1:G1"/>
    <mergeCell ref="C46:D46"/>
    <mergeCell ref="A47:B47"/>
    <mergeCell ref="E47:G47"/>
    <mergeCell ref="A16:G16"/>
    <mergeCell ref="E50:G50"/>
    <mergeCell ref="E43:G43"/>
    <mergeCell ref="C48:D48"/>
    <mergeCell ref="A43:B43"/>
    <mergeCell ref="E48:G48"/>
    <mergeCell ref="A2:G2"/>
    <mergeCell ref="A44:B44"/>
    <mergeCell ref="E44:G44"/>
    <mergeCell ref="A42:G42"/>
  </mergeCells>
  <printOptions horizontalCentered="1"/>
  <pageMargins left="0.5" right="0.5" top="0.6" bottom="0.6" header="0.3" footer="0.3"/>
  <pageSetup orientation="landscape" paperSize="9" fitToHeight="0" fitToWidth="1"/>
  <headerFooter>
    <oddHeader/>
    <oddFooter>&amp;L&amp;9 &amp;K5A6C7DLand to Rear of 1-8 Wesley Terrace, Castleside  ·  ES26-080&amp;C&amp;9 &amp;K5A6C7DPage &amp;P of &amp;N&amp;R&amp;9 &amp;K5A6C7DIssued 19 Oct 2026</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69"/>
  <sheetViews>
    <sheetView showGridLines="0" workbookViewId="0">
      <selection activeCell="A1" sqref="A1"/>
    </sheetView>
  </sheetViews>
  <sheetFormatPr baseColWidth="8" defaultRowHeight="15"/>
  <cols>
    <col width="22" customWidth="1" min="1" max="1"/>
    <col width="50" customWidth="1" min="2" max="2"/>
    <col width="18" customWidth="1" min="3" max="3"/>
    <col width="17" customWidth="1" min="4" max="4"/>
    <col width="17" customWidth="1" min="5" max="5"/>
    <col width="18" customWidth="1" min="6" max="6"/>
  </cols>
  <sheetData>
    <row r="1" ht="22" customHeight="1">
      <c r="C1" s="70" t="inlineStr">
        <is>
          <t>Bill of Quantities Package - Finishes &amp; Ancillary Trades</t>
        </is>
      </c>
    </row>
    <row r="2" ht="18" customHeight="1">
      <c r="C2" s="71" t="inlineStr">
        <is>
          <t>ES26-080  |  Land to Rear of 1-8 Wesley Terrace, Castleside  |  Wannop Developments Ltd</t>
        </is>
      </c>
    </row>
    <row r="3" ht="4" customHeight="1">
      <c r="A3" s="72" t="n"/>
      <c r="B3" s="72" t="n"/>
      <c r="C3" s="72" t="n"/>
      <c r="D3" s="72" t="n"/>
      <c r="E3" s="72" t="n"/>
      <c r="F3" s="72" t="n"/>
    </row>
    <row r="4" ht="62"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6" ht="16" customHeight="1">
      <c r="A6" s="74" t="inlineStr">
        <is>
          <t>Project</t>
        </is>
      </c>
      <c r="B6" s="75" t="inlineStr">
        <is>
          <t>Land to Rear of 1-8 Wesley Terrace, Castleside</t>
        </is>
      </c>
    </row>
    <row r="7" ht="16" customHeight="1">
      <c r="A7" s="74" t="inlineStr">
        <is>
          <t>Site</t>
        </is>
      </c>
      <c r="B7" s="75" t="inlineStr">
        <is>
          <t>Land to Rear of 1-8 Wesley Terrace, Castleside, County Durham DH8 9QB</t>
        </is>
      </c>
    </row>
    <row r="8" ht="16" customHeight="1">
      <c r="A8" s="74" t="inlineStr">
        <is>
          <t>Client</t>
        </is>
      </c>
      <c r="B8" s="75" t="inlineStr">
        <is>
          <t>Wannop Developments Ltd</t>
        </is>
      </c>
    </row>
    <row r="9" ht="16" customHeight="1">
      <c r="A9" s="74" t="inlineStr">
        <is>
          <t>Architect</t>
        </is>
      </c>
      <c r="B9" s="75" t="inlineStr">
        <is>
          <t>Code L6 Architecture Ltd (24-014, drawings SK11A / 10G, DRAFT)</t>
        </is>
      </c>
    </row>
    <row r="10" ht="16" customHeight="1">
      <c r="A10" s="74" t="inlineStr">
        <is>
          <t>Quotation ref</t>
        </is>
      </c>
      <c r="B10" s="75" t="inlineStr">
        <is>
          <t>ES26-080</t>
        </is>
      </c>
    </row>
    <row r="11" ht="16" customHeight="1">
      <c r="A11" s="74" t="inlineStr">
        <is>
          <t>Document</t>
        </is>
      </c>
      <c r="B11" s="75" t="inlineStr">
        <is>
          <t>Bill of Quantities Package - Finishes &amp; Ancillary Trades</t>
        </is>
      </c>
    </row>
    <row r="12" ht="16" customHeight="1">
      <c r="A12" s="74" t="inlineStr">
        <is>
          <t>Issue</t>
        </is>
      </c>
      <c r="B12" s="75" t="inlineStr">
        <is>
          <t>01  (19/10/2026)</t>
        </is>
      </c>
    </row>
    <row r="13" ht="30" customHeight="1">
      <c r="A13" s="74" t="inlineStr">
        <is>
          <t>Scope</t>
        </is>
      </c>
      <c r="B13" s="75" t="inlineStr">
        <is>
          <t>18 dwellings in 8 blocks: HT01 3-bed 2-storey houses as 2 semi pairs (B01, B04) and 4 terraces of 3 (B02, B03, B05 brick; B08 stone, plots 16-18); HT02 2-bed detached bungalows (B06, B07, plots 14-15)</t>
        </is>
      </c>
    </row>
    <row r="14" ht="16" customHeight="1">
      <c r="A14" s="74" t="inlineStr">
        <is>
          <t>Prepared by</t>
        </is>
      </c>
      <c r="B14" s="75" t="inlineStr">
        <is>
          <t>BuildEase (Tremco CPG UK) - BuildEase Design Suite quotation models</t>
        </is>
      </c>
    </row>
    <row r="15" ht="30" customHeight="1">
      <c r="A15" s="74" t="inlineStr">
        <is>
          <t>Status</t>
        </is>
      </c>
      <c r="B15" s="76" t="inlineStr">
        <is>
          <t>FOR INFORMATION, COORDINATION AND PRICING BY OTHERS - rates blank; NOT part of the Nudura ICF price</t>
        </is>
      </c>
    </row>
    <row r="17" ht="20" customHeight="1">
      <c r="A17" s="77" t="inlineStr">
        <is>
          <t>PACKAGE OVERVIEW  -  pricing by others (all amounts formula-linked to each bill's Package Summary)</t>
        </is>
      </c>
    </row>
    <row r="18" ht="30" customHeight="1">
      <c r="A18" s="78" t="inlineStr">
        <is>
          <t>Bill</t>
        </is>
      </c>
      <c r="B18" s="78" t="inlineStr">
        <is>
          <t>Package</t>
        </is>
      </c>
      <c r="C18" s="78" t="inlineStr">
        <is>
          <t>Code / NRM2</t>
        </is>
      </c>
      <c r="D18" s="78" t="inlineStr">
        <is>
          <t>Supply £</t>
        </is>
      </c>
      <c r="E18" s="78" t="inlineStr">
        <is>
          <t>Install £</t>
        </is>
      </c>
      <c r="F18" s="78" t="inlineStr">
        <is>
          <t>Total £</t>
        </is>
      </c>
    </row>
    <row r="19" ht="18" customHeight="1">
      <c r="A19" s="79" t="inlineStr">
        <is>
          <t>Bill 1</t>
        </is>
      </c>
      <c r="B19" s="79" t="inlineStr">
        <is>
          <t>External Wall Finishes - Brick &amp; Stone Slips</t>
        </is>
      </c>
      <c r="C19" s="79" t="inlineStr">
        <is>
          <t>CLD  NRM2 21</t>
        </is>
      </c>
      <c r="D19" s="80">
        <f>'Bill 1 External Finishes'!K44</f>
        <v/>
      </c>
      <c r="E19" s="80">
        <f>'Bill 1 External Finishes'!L44</f>
        <v/>
      </c>
      <c r="F19" s="80">
        <f>'Bill 1 External Finishes'!M44</f>
        <v/>
      </c>
    </row>
    <row r="20" ht="30" customHeight="1">
      <c r="A20" s="79" t="inlineStr">
        <is>
          <t>Bill 2</t>
        </is>
      </c>
      <c r="B20" s="79" t="inlineStr">
        <is>
          <t>Internal Linings - Plasterboard, Tape, Beads &amp; Skim</t>
        </is>
      </c>
      <c r="C20" s="79" t="inlineStr">
        <is>
          <t>DRY  NRM2 28</t>
        </is>
      </c>
      <c r="D20" s="80">
        <f>'Bill 2 Internal Linings'!K40</f>
        <v/>
      </c>
      <c r="E20" s="80">
        <f>'Bill 2 Internal Linings'!L40</f>
        <v/>
      </c>
      <c r="F20" s="80">
        <f>'Bill 2 Internal Linings'!M40</f>
        <v/>
      </c>
    </row>
    <row r="21" ht="18" customHeight="1">
      <c r="A21" s="79" t="inlineStr">
        <is>
          <t>Bill 3</t>
        </is>
      </c>
      <c r="B21" s="79" t="inlineStr">
        <is>
          <t>Internal Doors &amp; Ironmongery</t>
        </is>
      </c>
      <c r="C21" s="79" t="inlineStr">
        <is>
          <t>JOI  NRM2 24</t>
        </is>
      </c>
      <c r="D21" s="80">
        <f>'Bill 3 Doors'!K31</f>
        <v/>
      </c>
      <c r="E21" s="80">
        <f>'Bill 3 Doors'!L31</f>
        <v/>
      </c>
      <c r="F21" s="80">
        <f>'Bill 3 Doors'!M31</f>
        <v/>
      </c>
    </row>
    <row r="22" ht="30" customHeight="1">
      <c r="A22" s="79" t="inlineStr">
        <is>
          <t>Bill 4</t>
        </is>
      </c>
      <c r="B22" s="79" t="inlineStr">
        <is>
          <t>Joinery - Skirtings, Architraves, Window Boards &amp; Loft Hatches</t>
        </is>
      </c>
      <c r="C22" s="79" t="inlineStr">
        <is>
          <t>JOI  NRM2 22</t>
        </is>
      </c>
      <c r="D22" s="80">
        <f>'Bill 4 Joinery'!K44</f>
        <v/>
      </c>
      <c r="E22" s="80">
        <f>'Bill 4 Joinery'!L44</f>
        <v/>
      </c>
      <c r="F22" s="80">
        <f>'Bill 4 Joinery'!M44</f>
        <v/>
      </c>
    </row>
    <row r="23" ht="30" customHeight="1">
      <c r="A23" s="79" t="inlineStr">
        <is>
          <t>Bill 5</t>
        </is>
      </c>
      <c r="B23" s="79" t="inlineStr">
        <is>
          <t>Timber Stud Partitions - Framing, Openings, Pattresses &amp; Fixings</t>
        </is>
      </c>
      <c r="C23" s="79" t="inlineStr">
        <is>
          <t>JOI  NRM2 16</t>
        </is>
      </c>
      <c r="D23" s="80">
        <f>'Bill 5 Partitions'!K47</f>
        <v/>
      </c>
      <c r="E23" s="80">
        <f>'Bill 5 Partitions'!L47</f>
        <v/>
      </c>
      <c r="F23" s="80">
        <f>'Bill 5 Partitions'!M47</f>
        <v/>
      </c>
    </row>
    <row r="24" ht="20" customHeight="1">
      <c r="A24" s="81" t="inlineStr">
        <is>
          <t>GRAND TOTAL - finishes / ancillary trades, net (excl. VAT)</t>
        </is>
      </c>
      <c r="D24" s="82">
        <f>SUM(D19:D23)</f>
        <v/>
      </c>
      <c r="E24" s="82">
        <f>SUM(E19:E23)</f>
        <v/>
      </c>
      <c r="F24" s="82">
        <f>SUM(F19:F23)</f>
        <v/>
      </c>
    </row>
    <row r="26">
      <c r="A26" s="83" t="inlineStr">
        <is>
          <t>Optional additions (enter %; blank = 0)</t>
        </is>
      </c>
      <c r="C26" s="84" t="inlineStr">
        <is>
          <t>%</t>
        </is>
      </c>
      <c r="F26" s="84" t="inlineStr">
        <is>
          <t>Amount £</t>
        </is>
      </c>
    </row>
    <row r="27">
      <c r="A27" s="85" t="inlineStr">
        <is>
          <t>Preliminaries</t>
        </is>
      </c>
      <c r="B27" s="86" t="inlineStr">
        <is>
          <t>on the finishes net grand total</t>
        </is>
      </c>
      <c r="C27" s="87" t="n"/>
      <c r="F27" s="80">
        <f>(F24)*N(C27)</f>
        <v/>
      </c>
    </row>
    <row r="28">
      <c r="A28" s="85" t="inlineStr">
        <is>
          <t>Overheads &amp; profit</t>
        </is>
      </c>
      <c r="B28" s="86" t="inlineStr">
        <is>
          <t>on net total + preliminaries</t>
        </is>
      </c>
      <c r="C28" s="87" t="n"/>
      <c r="F28" s="80">
        <f>(F24+F27)*N(C28)</f>
        <v/>
      </c>
    </row>
    <row r="29">
      <c r="A29" s="85" t="inlineStr">
        <is>
          <t>Contingency</t>
        </is>
      </c>
      <c r="B29" s="86" t="inlineStr">
        <is>
          <t>on net total + preliminaries + OH&amp;P</t>
        </is>
      </c>
      <c r="C29" s="87" t="n"/>
      <c r="F29" s="80">
        <f>(F24+F27+F28)*N(C29)</f>
        <v/>
      </c>
    </row>
    <row r="30" ht="22" customHeight="1">
      <c r="A30" s="88" t="inlineStr">
        <is>
          <t>GRAND TOTAL finishes incl. preliminaries, OH&amp;P and contingency (excl. VAT)</t>
        </is>
      </c>
      <c r="F30" s="89">
        <f>F24+F27+F28+F29</f>
        <v/>
      </c>
    </row>
    <row r="32" ht="20" customHeight="1">
      <c r="A32" s="90" t="inlineStr">
        <is>
          <t>ICF PACKAGE HOOK  -  BuildEase BOQ Builder (ICF kit, concrete, labour, preliminaries, programme)</t>
        </is>
      </c>
    </row>
    <row r="33" ht="30" customHeight="1">
      <c r="A33" s="79" t="inlineStr">
        <is>
          <t>Nudura ICF package (BuildEase BOQ Builder)</t>
        </is>
      </c>
      <c r="F33" s="91">
        <f>'Summary'!$E$11</f>
        <v/>
      </c>
    </row>
    <row r="34" ht="22" customHeight="1">
      <c r="A34" s="88" t="inlineStr">
        <is>
          <t>COMBINED TOTAL - finishes package (incl. additions) + ICF package, excl. VAT</t>
        </is>
      </c>
      <c r="F34" s="89">
        <f>F30+N(F33)</f>
        <v/>
      </c>
    </row>
    <row r="35" ht="36" customHeight="1">
      <c r="A35" s="92" t="inlineStr">
        <is>
          <t>Pale-yellow cells are the only inputs (rates on each bill sheet, percentages and the ICF hook here). Everything else is a locked formula (protection has no password). Schedules A to D are reference only and are not priced. Named cells: FINISHES_NET_TOTAL, FINISHES_GRAND_TOTAL, ICF_PACKAGE_TOTAL, COMBINED_TOTAL.</t>
        </is>
      </c>
    </row>
    <row r="37" ht="80" customHeight="1">
      <c r="A37" s="93" t="inlineStr">
        <is>
          <t>IMPORTANT -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39" ht="20" customHeight="1">
      <c r="A39" s="90" t="inlineStr">
        <is>
          <t>KEY QUANTITIES  (site totals, 8 blocks / 18 plots, net; linked to the bills)</t>
        </is>
      </c>
    </row>
    <row r="40">
      <c r="A40" s="85" t="inlineStr">
        <is>
          <t>Brick slips, walls (net, excl. reveals)</t>
        </is>
      </c>
      <c r="D40" s="94">
        <f>'Bill 1 External Finishes'!H10+'Bill 1 External Finishes'!H11+'Bill 1 External Finishes'!H12+'Bill 1 External Finishes'!H13</f>
        <v/>
      </c>
      <c r="E40" s="85" t="inlineStr">
        <is>
          <t>m2</t>
        </is>
      </c>
    </row>
    <row r="41">
      <c r="A41" s="85" t="inlineStr">
        <is>
          <t>Stone slips, walls (net, excl. reveals)</t>
        </is>
      </c>
      <c r="D41" s="94">
        <f>'Bill 1 External Finishes'!H22+'Bill 1 External Finishes'!H23+'Bill 1 External Finishes'!H24</f>
        <v/>
      </c>
      <c r="E41" s="85" t="inlineStr">
        <is>
          <t>m2</t>
        </is>
      </c>
    </row>
    <row r="42">
      <c r="A42" s="85" t="inlineStr">
        <is>
          <t>Plasterboard, walls, reveals and bands (net)</t>
        </is>
      </c>
      <c r="D42" s="94">
        <f>'Bill 2 Internal Linings'!H10+'Bill 2 Internal Linings'!H11+'Bill 2 Internal Linings'!H12+'Bill 2 Internal Linings'!H13+'Bill 2 Internal Linings'!H14+'Bill 2 Internal Linings'!H15+'Bill 2 Internal Linings'!H16+'Bill 2 Internal Linings'!H17+'Bill 2 Internal Linings'!H18</f>
        <v/>
      </c>
      <c r="E42" s="85" t="inlineStr">
        <is>
          <t>m2</t>
        </is>
      </c>
    </row>
    <row r="43">
      <c r="A43" s="85" t="inlineStr">
        <is>
          <t>Plasterboard, ceilings and stair soffits (net)</t>
        </is>
      </c>
      <c r="D43" s="94">
        <f>'Bill 2 Internal Linings'!H21+'Bill 2 Internal Linings'!H22+'Bill 2 Internal Linings'!H23+'Bill 2 Internal Linings'!H24</f>
        <v/>
      </c>
      <c r="E43" s="85" t="inlineStr">
        <is>
          <t>m2</t>
        </is>
      </c>
    </row>
    <row r="44">
      <c r="A44" s="85" t="inlineStr">
        <is>
          <t>Skim coat</t>
        </is>
      </c>
      <c r="D44" s="94">
        <f>'Bill 2 Internal Linings'!H31</f>
        <v/>
      </c>
      <c r="E44" s="85" t="inlineStr">
        <is>
          <t>m2</t>
        </is>
      </c>
    </row>
    <row r="45">
      <c r="A45" s="85" t="inlineStr">
        <is>
          <t>Internal doorsets</t>
        </is>
      </c>
      <c r="D45" s="94">
        <f>'Bill 3 Doors'!H10+'Bill 3 Doors'!H11+'Bill 3 Doors'!H12+'Bill 3 Doors'!H13</f>
        <v/>
      </c>
      <c r="E45" s="85" t="inlineStr">
        <is>
          <t>nr</t>
        </is>
      </c>
    </row>
    <row r="46">
      <c r="A46" s="85" t="inlineStr">
        <is>
          <t>Skirting</t>
        </is>
      </c>
      <c r="D46" s="94">
        <f>'Bill 4 Joinery'!H24</f>
        <v/>
      </c>
      <c r="E46" s="85" t="inlineStr">
        <is>
          <t>m</t>
        </is>
      </c>
    </row>
    <row r="47">
      <c r="A47" s="85" t="inlineStr">
        <is>
          <t>Architrave</t>
        </is>
      </c>
      <c r="D47" s="94">
        <f>'Bill 4 Joinery'!H27+'Bill 4 Joinery'!H28</f>
        <v/>
      </c>
      <c r="E47" s="85" t="inlineStr">
        <is>
          <t>m</t>
        </is>
      </c>
    </row>
    <row r="48">
      <c r="A48" s="85" t="inlineStr">
        <is>
          <t>Window boards</t>
        </is>
      </c>
      <c r="D48" s="94">
        <f>'Bill 4 Joinery'!H31+'Bill 4 Joinery'!H32+'Bill 4 Joinery'!H33</f>
        <v/>
      </c>
      <c r="E48" s="85" t="inlineStr">
        <is>
          <t>nr</t>
        </is>
      </c>
    </row>
    <row r="49">
      <c r="A49" s="85" t="inlineStr">
        <is>
          <t>Timber stud partitions (gross area)</t>
        </is>
      </c>
      <c r="D49" s="94">
        <f>'Bill 5 Partitions'!H10+'Bill 5 Partitions'!H11+'Bill 5 Partitions'!H12+'Bill 5 Partitions'!H13+'Bill 5 Partitions'!H14+'Bill 5 Partitions'!H15</f>
        <v/>
      </c>
      <c r="E49" s="85" t="inlineStr">
        <is>
          <t>m2</t>
        </is>
      </c>
    </row>
    <row r="50">
      <c r="A50" s="85" t="inlineStr">
        <is>
          <t>Partition timber 38 x 89 C16 (estimate)</t>
        </is>
      </c>
      <c r="D50" s="94">
        <f>'Bill 5 Partitions'!H18+'Bill 5 Partitions'!H19+'Bill 5 Partitions'!H20</f>
        <v/>
      </c>
      <c r="E50" s="85" t="inlineStr">
        <is>
          <t>m</t>
        </is>
      </c>
    </row>
    <row r="51">
      <c r="A51" s="85" t="inlineStr">
        <is>
          <t>Door openings formed in partitions</t>
        </is>
      </c>
      <c r="D51" s="94">
        <f>'Bill 5 Partitions'!H24+'Bill 5 Partitions'!H25+'Bill 5 Partitions'!H26</f>
        <v/>
      </c>
      <c r="E51" s="85" t="inlineStr">
        <is>
          <t>nr</t>
        </is>
      </c>
    </row>
    <row r="53">
      <c r="A53" s="95" t="inlineStr">
        <is>
          <t>Document control</t>
        </is>
      </c>
    </row>
    <row r="54" ht="30" customHeight="1">
      <c r="A54" s="78" t="inlineStr">
        <is>
          <t>Issue</t>
        </is>
      </c>
      <c r="B54" s="78" t="inlineStr">
        <is>
          <t>Description</t>
        </is>
      </c>
      <c r="C54" s="78" t="inlineStr">
        <is>
          <t>Date</t>
        </is>
      </c>
      <c r="D54" s="78" t="inlineStr">
        <is>
          <t>By / Status</t>
        </is>
      </c>
      <c r="E54" s="96" t="n"/>
      <c r="F54" s="97" t="n"/>
    </row>
    <row r="55" ht="70" customHeight="1">
      <c r="A55" s="79" t="inlineStr">
        <is>
          <t>01</t>
        </is>
      </c>
      <c r="B55" s="79" t="inlineStr">
        <is>
          <t>First issue: finishes / ancillary-trades BOQ package from the quotation models (port of the ES26-081 package). Live pricing workbook: supply and install rates, package summaries and cover overview by formula; rates blank for pricing by others; ICF_PACKAGE_TOTAL hook for merging with the BOQ Builder ICF + programme workbook</t>
        </is>
      </c>
      <c r="C55" s="79" t="inlineStr">
        <is>
          <t>19/10/2026</t>
        </is>
      </c>
      <c r="D55" s="79" t="inlineStr">
        <is>
          <t>BuildEase - T. Smith / For information / pricing by others</t>
        </is>
      </c>
      <c r="E55" s="79" t="n"/>
      <c r="F55" s="79" t="n"/>
    </row>
    <row r="57">
      <c r="A57" s="95" t="inlineStr">
        <is>
          <t>Contents</t>
        </is>
      </c>
    </row>
    <row r="58">
      <c r="A58" t="inlineStr">
        <is>
          <t>Finishes Cover (this sheet) - overview</t>
        </is>
      </c>
    </row>
    <row r="59">
      <c r="A59" t="inlineStr">
        <is>
          <t>General Notes</t>
        </is>
      </c>
    </row>
    <row r="60">
      <c r="A60" t="inlineStr">
        <is>
          <t>Summary of Bills (section breakdown)</t>
        </is>
      </c>
    </row>
    <row r="61">
      <c r="A61" t="inlineStr">
        <is>
          <t>Finishes Bill 1 External Finish</t>
        </is>
      </c>
    </row>
    <row r="62">
      <c r="A62" t="inlineStr">
        <is>
          <t>Finishes Bill 2 Internal Lining</t>
        </is>
      </c>
    </row>
    <row r="63">
      <c r="A63" t="inlineStr">
        <is>
          <t>Finishes Bill 3 Doors</t>
        </is>
      </c>
    </row>
    <row r="64">
      <c r="A64" t="inlineStr">
        <is>
          <t>Finishes Bill 4 Joinery</t>
        </is>
      </c>
    </row>
    <row r="65">
      <c r="A65" t="inlineStr">
        <is>
          <t>Finishes Bill 5 Partitions</t>
        </is>
      </c>
    </row>
    <row r="66">
      <c r="A66" t="inlineStr">
        <is>
          <t>Schedule A Floor Areas (not priced)</t>
        </is>
      </c>
    </row>
    <row r="67">
      <c r="A67" t="inlineStr">
        <is>
          <t>Schedule B Openings (not priced)</t>
        </is>
      </c>
    </row>
    <row r="68">
      <c r="A68" t="inlineStr">
        <is>
          <t>Schedule C Per Plot (not priced)</t>
        </is>
      </c>
    </row>
    <row r="69">
      <c r="A69" t="inlineStr">
        <is>
          <t>Schedule D Sloping Plots (not priced)</t>
        </is>
      </c>
    </row>
  </sheetData>
  <sheetProtection selectLockedCells="0" selectUnlockedCells="0" sheet="1" objects="0" insertRows="1" insertHyperlinks="1" autoFilter="1" scenarios="0" formatColumns="0" deleteColumns="1" insertColumns="1" pivotTables="1" deleteRows="1" formatCells="1" formatRows="0" sort="1"/>
  <mergeCells count="36">
    <mergeCell ref="A30:E30"/>
    <mergeCell ref="A34:E34"/>
    <mergeCell ref="A41:C41"/>
    <mergeCell ref="B7:F7"/>
    <mergeCell ref="A46:C46"/>
    <mergeCell ref="A37:F37"/>
    <mergeCell ref="A50:C50"/>
    <mergeCell ref="A42:C42"/>
    <mergeCell ref="B12:F12"/>
    <mergeCell ref="A47:C47"/>
    <mergeCell ref="B11:F11"/>
    <mergeCell ref="A32:F32"/>
    <mergeCell ref="A17:F17"/>
    <mergeCell ref="A35:F35"/>
    <mergeCell ref="A4:F4"/>
    <mergeCell ref="B14:F14"/>
    <mergeCell ref="B8:F8"/>
    <mergeCell ref="A43:C43"/>
    <mergeCell ref="B13:F13"/>
    <mergeCell ref="D55:F55"/>
    <mergeCell ref="A44:C44"/>
    <mergeCell ref="B10:F10"/>
    <mergeCell ref="A33:E33"/>
    <mergeCell ref="A40:C40"/>
    <mergeCell ref="D54:F54"/>
    <mergeCell ref="C1:F1"/>
    <mergeCell ref="A39:F39"/>
    <mergeCell ref="A48:C48"/>
    <mergeCell ref="A24:C24"/>
    <mergeCell ref="B9:F9"/>
    <mergeCell ref="A51:C51"/>
    <mergeCell ref="A49:C49"/>
    <mergeCell ref="B6:F6"/>
    <mergeCell ref="A45:C45"/>
    <mergeCell ref="B15:F15"/>
    <mergeCell ref="C2:F2"/>
  </mergeCells>
  <printOptions horizontalCentered="1"/>
  <pageMargins left="0.75" right="0.75" top="0.7" bottom="0.75" header="0.5" footer="0.5"/>
  <pageSetup orientation="portrait" paperSize="9" fitToHeight="0" fitToWidth="1"/>
  <headerFooter>
    <oddHeader>&amp;L&amp;8 BuildEase  |  ES26-080 Land to Rear of 1-8 Wesley Terrace, Castleside  |  Wannop Developments Ltd&amp;R&amp;8 Bill of Quantities Package - Finishes &amp;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B52"/>
  <sheetViews>
    <sheetView showGridLines="0" workbookViewId="0">
      <selection activeCell="A1" sqref="A1"/>
    </sheetView>
  </sheetViews>
  <sheetFormatPr baseColWidth="8" defaultRowHeight="15"/>
  <cols>
    <col width="14" customWidth="1" min="1" max="1"/>
    <col width="116" customWidth="1" min="2" max="2"/>
  </cols>
  <sheetData>
    <row r="1" ht="22" customHeight="1">
      <c r="B1" s="70" t="inlineStr">
        <is>
          <t>General Notes, Measurement Basis, Assumptions &amp; Exclusions</t>
        </is>
      </c>
    </row>
    <row r="2" ht="18" customHeight="1">
      <c r="B2" s="71" t="inlineStr">
        <is>
          <t>ES26-080  |  Land to Rear of 1-8 Wesley Terrace, Castleside  |  Wannop Developments Ltd</t>
        </is>
      </c>
    </row>
    <row r="3" ht="4" customHeight="1">
      <c r="A3" s="72" t="n"/>
      <c r="B3" s="72" t="n"/>
    </row>
    <row r="4" ht="62"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6">
      <c r="A6" s="98" t="inlineStr">
        <is>
          <t>1  Purpose and status</t>
        </is>
      </c>
    </row>
    <row r="7" ht="45" customHeight="1">
      <c r="A7" s="71" t="inlineStr">
        <is>
          <t>1.1</t>
        </is>
      </c>
      <c r="B7" s="75" t="inlineStr">
        <is>
          <t>This package presents the finishes and ancillary-trade quantities measured by BuildEase alongside the Nudura ICF quotation for Land to Rear of 1-8 Wesley Terrace, Castleside (ref ES26-080). It is set out in the form of a Bill of Quantities so that the client, their quantity surveyor and trade contractors can price and coordinate the works.</t>
        </is>
      </c>
    </row>
    <row r="8" ht="45" customHeight="1">
      <c r="A8" s="71" t="inlineStr">
        <is>
          <t>1.2</t>
        </is>
      </c>
      <c r="B8" s="75" t="inlineStr">
        <is>
          <t>Status: FOR INFORMATION, COORDINATION AND PRICING BY OTHERS. Supply and install rates are left blank deliberately - BuildEase / Tremco CPG are not pricing these trades. The Excel workbook is a live pricing document: enter rates and every amount, section subtotal, package total and the cover overview update by formula.</t>
        </is>
      </c>
    </row>
    <row r="9" ht="45" customHeight="1">
      <c r="A9" s="71" t="inlineStr">
        <is>
          <t>1.3</t>
        </is>
      </c>
      <c r="B9" s="75" t="inlineStr">
        <is>
          <t>The ICF kit, concrete core, pumping and ICF / floor / roof labour and the build programme are in the separate BuildEase BOQ Builder workbook. The cover of this workbook carries a named hook (ICF_PACKAGE_TOTAL) so the two can be combined into one workbook and one grand total.</t>
        </is>
      </c>
    </row>
    <row r="10" ht="45" customHeight="1">
      <c r="A10" s="71" t="inlineStr">
        <is>
          <t>1.4</t>
        </is>
      </c>
      <c r="B10" s="99" t="inlineStr">
        <is>
          <t>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t>
        </is>
      </c>
    </row>
    <row r="11" ht="45" customHeight="1">
      <c r="A11" s="71" t="inlineStr">
        <is>
          <t>1.5</t>
        </is>
      </c>
      <c r="B11" s="99" t="inlineStr">
        <is>
          <t>Quantities are measured from the quotation models and the SK11A drawings (DRAFT); no allowance for waste is included unless stated. Quantities are per block for each block type; the Site total multiplies by the number of blocks. Rates and amounts are by others.</t>
        </is>
      </c>
    </row>
    <row r="13">
      <c r="A13" s="98" t="inlineStr">
        <is>
          <t>2  Basis of measurement</t>
        </is>
      </c>
    </row>
    <row r="14" ht="45" customHeight="1">
      <c r="A14" s="71" t="inlineStr">
        <is>
          <t>2.1</t>
        </is>
      </c>
      <c r="B14" s="75" t="inlineStr">
        <is>
          <t>Measured generally in accordance with the principles of NRM2 (RICS New Rules of Measurement, Detailed measurement for building works): work measured net as fixed in position, items grouped by work section, units m / m2 / nr / item. NRM2 is referenced for structure only; descriptions are BuildEase's own.</t>
        </is>
      </c>
    </row>
    <row r="15" ht="30" customHeight="1">
      <c r="A15" s="71" t="inlineStr">
        <is>
          <t>2.2</t>
        </is>
      </c>
      <c r="B15" s="75" t="inlineStr">
        <is>
          <t>Quantities are NET. No allowance for waste, laps, cutting or breakage is included unless stated. Where useful an "Order guide" with a stated waste % is given in the Notes column; it is guidance only.</t>
        </is>
      </c>
    </row>
    <row r="16" ht="60" customHeight="1">
      <c r="A16" s="71" t="inlineStr">
        <is>
          <t>2.3</t>
        </is>
      </c>
      <c r="B16" s="75" t="inlineStr">
        <is>
          <t>Quantity columns: one column PER BLOCK for each block type - T01_SEMI (B01, B04; plots 01-02, 09-10), T01_TER3 brick (B02, B03, B05; plots 03-08, 11-13), T01_TER3 stone (B08; plots 16-18) and T02_BUNG (B06, B07; plots 14, 15). The Site total = sum of (per-block quantity x number of blocks) and is a live formula. Mid-terrace units differ slightly from end units (party walls both sides); Schedule C lists the key quantities plot by plot.</t>
        </is>
      </c>
    </row>
    <row r="17" ht="75" customHeight="1">
      <c r="A17" s="71" t="inlineStr">
        <is>
          <t>2.4</t>
        </is>
      </c>
      <c r="B17" s="75" t="inlineStr">
        <is>
          <t>Sources: Code L6 drawings 24-014-SK11A (house types, plans and elevations, 1:100 @ A1, DRAFT) and 24-014-10G (site plan, DRAFT); the BuildEase quotation models per block type (03_Models WD_T01_SEMI / WD_T01_TER3 / WD_T02_BUNG) through their specs (04_Logs/specs WD_spec*.json, WD_partitions.json) and build reports (04_Logs/build: floor / stair, TLSTF partition, pattress and noggin reports). Measured offline by 05_Scripts/wd_xi_takeoff.py; presented by wd_boq.py.</t>
        </is>
      </c>
    </row>
    <row r="19">
      <c r="A19" s="98" t="inlineStr">
        <is>
          <t>3  Assumptions</t>
        </is>
      </c>
    </row>
    <row r="20" ht="60" customHeight="1">
      <c r="A20" s="71" t="inlineStr">
        <is>
          <t>3.1</t>
        </is>
      </c>
      <c r="B20" s="75" t="inlineStr">
        <is>
          <t>Walls: external ICF 6in XR35 (355.6 mm) set out on the drawn outer face; party walls 6in Std (285.75 mm). External finish: brick to units 01-15 (incl. bungalows 14-15) and stone to units 16-18 (SK11A elevations), taken as slip systems on the ICF - the ICF occupies the drawn wall thickness, so a full masonry outer leaf would need the set-out changed (confirm with the architect).</t>
        </is>
      </c>
    </row>
    <row r="21" ht="30" customHeight="1">
      <c r="A21" s="71" t="inlineStr">
        <is>
          <t>3.2</t>
        </is>
      </c>
      <c r="B21" s="75" t="inlineStr">
        <is>
          <t>Windows / doors set 1/3 back from the outer ICF face (118.5 mm). External reveal = set-back + slip (brick 25 mm / stone 30 mm). Internal reveal = 195 mm (ICF less set-back less frame 70 plus lining 27.5).</t>
        </is>
      </c>
    </row>
    <row r="22" ht="30" customHeight="1">
      <c r="A22" s="71" t="inlineStr">
        <is>
          <t>3.3</t>
        </is>
      </c>
      <c r="B22" s="75" t="inlineStr">
        <is>
          <t>Finish heights: from DPC (FFL - 150) to eaves 5,320 (HT01) / 2,320 (HT02); HT01 gables to the drawn brick apex 8,255. Lining heights: HT01 GF 2,425 (u/s joists), FF 2,700-5,370; HT02 2,336.</t>
        </is>
      </c>
    </row>
    <row r="23" ht="30" customHeight="1">
      <c r="A23" s="71" t="inlineStr">
        <is>
          <t>3.4</t>
        </is>
      </c>
      <c r="B23" s="75" t="inlineStr">
        <is>
          <t>Plasterboard: 12.5 mm wallboard to ICF faces (MR in wet rooms); 15 mm sound / fire board to party walls; 15 mm each side of the 38 x 89 stud partitions; 12.5 mm ceilings, plus VCL under the trusses. Board types are proposals.</t>
        </is>
      </c>
    </row>
    <row r="24" ht="30" customHeight="1">
      <c r="A24" s="71" t="inlineStr">
        <is>
          <t>3.5</t>
        </is>
      </c>
      <c r="B24" s="75" t="inlineStr">
        <is>
          <t>Doors: 900 / 800 / 700 mm gaps -&gt; 826 / 726 / 626 x 2040 leaves; no fire doors in the houses or bungalows. Cupboard ironmongery counted per leaf; flush bolt per double door (none on this job).</t>
        </is>
      </c>
    </row>
    <row r="25" ht="30" customHeight="1">
      <c r="A25" s="71" t="inlineStr">
        <is>
          <t>3.6</t>
        </is>
      </c>
      <c r="B25" s="75" t="inlineStr">
        <is>
          <t>Sloping site: per-block FFL = mean of the four existing corner ground levels + 150 (the stepped-footing rule used in the model). Items 1C are provisional.</t>
        </is>
      </c>
    </row>
    <row r="27">
      <c r="A27" s="98" t="inlineStr">
        <is>
          <t>4  Exclusions (not measured in this package)</t>
        </is>
      </c>
    </row>
    <row r="28" ht="30" customHeight="1">
      <c r="A28" s="71" t="inlineStr">
        <is>
          <t>4.1</t>
        </is>
      </c>
      <c r="B28" s="75" t="inlineStr">
        <is>
          <t>Nudura ICF formwork and accessories (in the Nudura price - see section 6). Concrete core, pumping, ICF / floor / roof labour and preliminaries are in the BuildEase BOQ Builder ICF + programme workbook.</t>
        </is>
      </c>
    </row>
    <row r="29" ht="45" customHeight="1">
      <c r="A29" s="71" t="inlineStr">
        <is>
          <t>4.2</t>
        </is>
      </c>
      <c r="B29" s="75" t="inlineStr">
        <is>
          <t>Supply of windows and external doorsets and cills (listed for coordination only), roof trusses, coverings, soffits, fascias and rainwater goods, FF floor joists and deck, staircases and balustrades, ground-bearing slab / screed / floor insulation.</t>
        </is>
      </c>
    </row>
    <row r="30" ht="30" customHeight="1">
      <c r="A30" s="71" t="inlineStr">
        <is>
          <t>4.3</t>
        </is>
      </c>
      <c r="B30" s="75" t="inlineStr">
        <is>
          <t>Floor finishes, decorations, kitchens, sanitaryware, M&amp;E services and builder's work, external works and drainage (other than as 1C).</t>
        </is>
      </c>
    </row>
    <row r="31" ht="30" customHeight="1">
      <c r="A31" s="71" t="inlineStr">
        <is>
          <t>4.4</t>
        </is>
      </c>
      <c r="B31" s="75" t="inlineStr">
        <is>
          <t>Fire-stopping, cavity barriers, acoustic / thermal insulation to partitions, floors and lofts, sealants and mastics, except where expressly described.</t>
        </is>
      </c>
    </row>
    <row r="33">
      <c r="A33" s="98" t="inlineStr">
        <is>
          <t>5  Items to be confirmed</t>
        </is>
      </c>
    </row>
    <row r="34" ht="15" customHeight="1">
      <c r="A34" s="71" t="inlineStr">
        <is>
          <t>5.1</t>
        </is>
      </c>
      <c r="B34" s="75" t="inlineStr">
        <is>
          <t>SK11A and 10G are marked DRAFT - quantities follow the draft drawings and the models built from them.</t>
        </is>
      </c>
    </row>
    <row r="35" ht="30" customHeight="1">
      <c r="A35" s="71" t="inlineStr">
        <is>
          <t>5.2</t>
        </is>
      </c>
      <c r="B35" s="75" t="inlineStr">
        <is>
          <t>External finish build-ups (brick slip and stone slip systems over ICF) and whether a full masonry outer leaf is intended.</t>
        </is>
      </c>
    </row>
    <row r="36" ht="30" customHeight="1">
      <c r="A36" s="71" t="inlineStr">
        <is>
          <t>5.3</t>
        </is>
      </c>
      <c r="B36" s="75" t="inlineStr">
        <is>
          <t>Final external levels: 1C.1 / 1C.2 are from the existing survey and the FFL rule; re-measure on the designed levels (falls up to 2.25 m within B03 / B05 / B08).</t>
        </is>
      </c>
    </row>
    <row r="37" ht="30" customHeight="1">
      <c r="A37" s="71" t="inlineStr">
        <is>
          <t>5.4</t>
        </is>
      </c>
      <c r="B37" s="75" t="inlineStr">
        <is>
          <t>Partition timber (5B) is an estimate - the TLSTF construction extract with cut lengths was not exported for ES26-080.</t>
        </is>
      </c>
    </row>
    <row r="38" ht="30" customHeight="1">
      <c r="A38" s="71" t="inlineStr">
        <is>
          <t>5.5</t>
        </is>
      </c>
      <c r="B38" s="75" t="inlineStr">
        <is>
          <t>Floor-noggin blockers (FF partition lines on / beside doubled trimmers) and 6 ceiling-noggin blockers on the bungalow hip set - detail with the floor / truss designers.</t>
        </is>
      </c>
    </row>
    <row r="39" ht="30" customHeight="1">
      <c r="A39" s="71" t="inlineStr">
        <is>
          <t>5.6</t>
        </is>
      </c>
      <c r="B39" s="75" t="inlineStr">
        <is>
          <t>Room areas agree with the drawn areas within ~0.4 m2 (finished faces from the ICF set-out on the drawn outer face) - see Schedule A.</t>
        </is>
      </c>
    </row>
    <row r="41">
      <c r="A41" s="98" t="inlineStr">
        <is>
          <t>6  What IS in the Nudura price (Quotation ES26-080)</t>
        </is>
      </c>
    </row>
    <row r="42" ht="30" customHeight="1">
      <c r="A42" s="71" t="inlineStr">
        <is>
          <t>6.1</t>
        </is>
      </c>
      <c r="B42" s="75" t="inlineStr">
        <is>
          <t>Nudura pre-cut ICF kit for the 8 blocks / 18 plots as modelled in the BuildEase Design Suite (stepped footings per block).</t>
        </is>
      </c>
    </row>
    <row r="43" ht="30" customHeight="1">
      <c r="A43" s="71" t="inlineStr">
        <is>
          <t>6.2</t>
        </is>
      </c>
      <c r="B43" s="75" t="inlineStr">
        <is>
          <t>Accessories: VJC clips, fibre tape, protective tape, spray foam, Form Lock and T-junction straps, end caps and lintel closures.</t>
        </is>
      </c>
    </row>
    <row r="44" ht="30" customHeight="1">
      <c r="A44" s="71" t="inlineStr">
        <is>
          <t>6.3</t>
        </is>
      </c>
      <c r="B44" s="75" t="inlineStr">
        <is>
          <t>BuildEase Pre-Cut Service: design, coordination, installation drawings, pre-cutting and packaging of forms, field services support.</t>
        </is>
      </c>
    </row>
    <row r="45" ht="15" customHeight="1">
      <c r="A45" s="71" t="inlineStr">
        <is>
          <t>6.4</t>
        </is>
      </c>
      <c r="B45" s="75" t="inlineStr">
        <is>
          <t>Nothing in Bills 1 to 5 of this package is included in the Nudura price.</t>
        </is>
      </c>
    </row>
    <row r="47">
      <c r="A47" s="98" t="inlineStr">
        <is>
          <t>7  Pricing instructions to tenderers</t>
        </is>
      </c>
    </row>
    <row r="48" ht="45" customHeight="1">
      <c r="A48" s="71" t="inlineStr">
        <is>
          <t>7.1</t>
        </is>
      </c>
      <c r="B48" s="75" t="inlineStr">
        <is>
          <t>Each bill item has a SUPPLY rate and an INSTALL rate. Insert rates only in the pale-yellow cells of the Excel workbook: Supply = Site total qty x Supply rate; Install = Site total qty x Install rate; Line total = Supply + Install. Items measured as "item" are lump sums: the rate entered is the amount.</t>
        </is>
      </c>
    </row>
    <row r="49" ht="45" customHeight="1">
      <c r="A49" s="71" t="inlineStr">
        <is>
          <t>7.2</t>
        </is>
      </c>
      <c r="B49" s="75" t="inlineStr">
        <is>
          <t>Each bill ends with a Package Summary (section subtotals for Supply / Install / Total and the package total). The Cover carries the full overview: one row per bill, grand totals, optional Preliminaries, Overheads &amp; profit and Contingency percentages (pale-yellow cells; blank = 0) and the ICF package hook.</t>
        </is>
      </c>
    </row>
    <row r="50" ht="30" customHeight="1">
      <c r="A50" s="71" t="inlineStr">
        <is>
          <t>7.3</t>
        </is>
      </c>
      <c r="B50" s="75" t="inlineStr">
        <is>
          <t>All other cells are locked by sheet protection (no password - Review &gt; Unprotect Sheet if a change is genuinely needed) so formulas cannot be overwritten by accident.</t>
        </is>
      </c>
    </row>
    <row r="51" ht="30" customHeight="1">
      <c r="A51" s="71" t="inlineStr">
        <is>
          <t>7.4</t>
        </is>
      </c>
      <c r="B51" s="75" t="inlineStr">
        <is>
          <t>Re-measure and verify all quantities before pricing or ordering. State any qualification against the item in the Notes column.</t>
        </is>
      </c>
    </row>
    <row r="52" ht="30" customHeight="1">
      <c r="A52" s="71" t="inlineStr">
        <is>
          <t>7.5</t>
        </is>
      </c>
      <c r="B52" s="75" t="inlineStr">
        <is>
          <t>The Order guide figures and Schedules A to D are not measured bill items and must not be priced as such. All amounts exclude VAT.</t>
        </is>
      </c>
    </row>
  </sheetData>
  <sheetProtection selectLockedCells="0" selectUnlockedCells="0" sheet="1" objects="0" insertRows="1" insertHyperlinks="1" autoFilter="1" scenarios="0" formatColumns="0" deleteColumns="1" insertColumns="1" pivotTables="1" deleteRows="1" formatCells="1" formatRows="0" sort="1"/>
  <mergeCells count="8">
    <mergeCell ref="A4:B4"/>
    <mergeCell ref="A41:B41"/>
    <mergeCell ref="A19:B19"/>
    <mergeCell ref="A33:B33"/>
    <mergeCell ref="A47:B47"/>
    <mergeCell ref="A13:B13"/>
    <mergeCell ref="A27:B27"/>
    <mergeCell ref="A6:B6"/>
  </mergeCells>
  <printOptions horizontalCentered="1"/>
  <pageMargins left="0.75" right="0.75" top="0.7" bottom="0.75" header="0.5" footer="0.5"/>
  <pageSetup orientation="portrait" paperSize="9" fitToHeight="0" fitToWidth="1"/>
  <headerFooter>
    <oddHeader>&amp;L&amp;8 BuildEase  |  ES26-080 Land to Rear of 1-8 Wesley Terrace, Castleside  |  Wannop Developments Ltd&amp;R&amp;8 Bill of Quantities Package - Finishes &amp;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A1:F33"/>
  <sheetViews>
    <sheetView showGridLines="0" workbookViewId="0">
      <pane ySplit="6" topLeftCell="A7" activePane="bottomLeft" state="frozen"/>
      <selection pane="bottomLeft" activeCell="A1" sqref="A1"/>
    </sheetView>
  </sheetViews>
  <sheetFormatPr baseColWidth="8" defaultRowHeight="15"/>
  <cols>
    <col width="10" customWidth="1" min="1" max="1"/>
    <col width="10" customWidth="1" min="2" max="2"/>
    <col width="58" customWidth="1" min="3" max="3"/>
    <col width="16" customWidth="1" min="4" max="4"/>
    <col width="16" customWidth="1" min="5" max="5"/>
    <col width="16" customWidth="1" min="6" max="6"/>
  </cols>
  <sheetData>
    <row r="1" ht="22" customHeight="1">
      <c r="C1" s="70" t="inlineStr">
        <is>
          <t>Summary of Bills - section breakdown</t>
        </is>
      </c>
    </row>
    <row r="2" ht="18" customHeight="1">
      <c r="C2" s="71" t="inlineStr">
        <is>
          <t>ES26-080  |  Land to Rear of 1-8 Wesley Terrace, Castleside  |  Wannop Developments Ltd  -  amounts by others, excl. VAT</t>
        </is>
      </c>
    </row>
    <row r="3" ht="4" customHeight="1">
      <c r="A3" s="72" t="n"/>
      <c r="B3" s="72" t="n"/>
      <c r="C3" s="72" t="n"/>
      <c r="D3" s="72" t="n"/>
      <c r="E3" s="72" t="n"/>
      <c r="F3" s="72" t="n"/>
    </row>
    <row r="4" ht="62"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6" ht="30" customHeight="1">
      <c r="A6" s="78" t="inlineStr">
        <is>
          <t>Bill</t>
        </is>
      </c>
      <c r="B6" s="78" t="inlineStr">
        <is>
          <t>Section</t>
        </is>
      </c>
      <c r="C6" s="78" t="inlineStr">
        <is>
          <t>Description</t>
        </is>
      </c>
      <c r="D6" s="78" t="inlineStr">
        <is>
          <t>Supply £</t>
        </is>
      </c>
      <c r="E6" s="78" t="inlineStr">
        <is>
          <t>Install £</t>
        </is>
      </c>
      <c r="F6" s="78" t="inlineStr">
        <is>
          <t>Total £</t>
        </is>
      </c>
    </row>
    <row r="7">
      <c r="A7" s="79" t="n">
        <v>1</v>
      </c>
      <c r="B7" s="79" t="inlineStr">
        <is>
          <t>1A</t>
        </is>
      </c>
      <c r="C7" s="79" t="inlineStr">
        <is>
          <t>Brick slip system over ICF - units 01-15 (NRM2 21 / package CLD)</t>
        </is>
      </c>
      <c r="D7" s="80">
        <f>'Bill 1 External Finishes'!K40</f>
        <v/>
      </c>
      <c r="E7" s="80">
        <f>'Bill 1 External Finishes'!L40</f>
        <v/>
      </c>
      <c r="F7" s="80">
        <f>'Bill 1 External Finishes'!M40</f>
        <v/>
      </c>
    </row>
    <row r="8">
      <c r="A8" s="79" t="n">
        <v>1</v>
      </c>
      <c r="B8" s="79" t="inlineStr">
        <is>
          <t>1B</t>
        </is>
      </c>
      <c r="C8" s="79" t="inlineStr">
        <is>
          <t>Stone slip / thin stone veneer system over ICF - units 16-18, block B08 (NRM2 21 / package CLD)</t>
        </is>
      </c>
      <c r="D8" s="80">
        <f>'Bill 1 External Finishes'!K41</f>
        <v/>
      </c>
      <c r="E8" s="80">
        <f>'Bill 1 External Finishes'!L41</f>
        <v/>
      </c>
      <c r="F8" s="80">
        <f>'Bill 1 External Finishes'!M41</f>
        <v/>
      </c>
    </row>
    <row r="9">
      <c r="A9" s="79" t="n">
        <v>1</v>
      </c>
      <c r="B9" s="79" t="inlineStr">
        <is>
          <t>1C</t>
        </is>
      </c>
      <c r="C9" s="79" t="inlineStr">
        <is>
          <t>Sloping plots - finishes and protection below DPC (PROVISIONAL; NRM2 21 / 17)</t>
        </is>
      </c>
      <c r="D9" s="80">
        <f>'Bill 1 External Finishes'!K42</f>
        <v/>
      </c>
      <c r="E9" s="80">
        <f>'Bill 1 External Finishes'!L42</f>
        <v/>
      </c>
      <c r="F9" s="80">
        <f>'Bill 1 External Finishes'!M42</f>
        <v/>
      </c>
    </row>
    <row r="10">
      <c r="A10" s="79" t="n">
        <v>1</v>
      </c>
      <c r="B10" s="79" t="inlineStr">
        <is>
          <t>1D</t>
        </is>
      </c>
      <c r="C10" s="79" t="inlineStr">
        <is>
          <t>Coordination items (supply by others)</t>
        </is>
      </c>
      <c r="D10" s="80">
        <f>'Bill 1 External Finishes'!K43</f>
        <v/>
      </c>
      <c r="E10" s="80">
        <f>'Bill 1 External Finishes'!L43</f>
        <v/>
      </c>
      <c r="F10" s="80">
        <f>'Bill 1 External Finishes'!M43</f>
        <v/>
      </c>
    </row>
    <row r="11">
      <c r="A11" s="100" t="inlineStr">
        <is>
          <t>Bill 1 - External Wall Finishes - Brick &amp; Stone Slips (package CLD)</t>
        </is>
      </c>
      <c r="D11" s="82">
        <f>'Bill 1 External Finishes'!K44</f>
        <v/>
      </c>
      <c r="E11" s="82">
        <f>'Bill 1 External Finishes'!L44</f>
        <v/>
      </c>
      <c r="F11" s="82">
        <f>'Bill 1 External Finishes'!M44</f>
        <v/>
      </c>
    </row>
    <row r="12">
      <c r="A12" s="79" t="n">
        <v>2</v>
      </c>
      <c r="B12" s="79" t="inlineStr">
        <is>
          <t>2A</t>
        </is>
      </c>
      <c r="C12" s="79" t="inlineStr">
        <is>
          <t>Plasterboard wall linings (NRM2 28 / package DRY)</t>
        </is>
      </c>
      <c r="D12" s="80">
        <f>'Bill 2 Internal Linings'!K37</f>
        <v/>
      </c>
      <c r="E12" s="80">
        <f>'Bill 2 Internal Linings'!L37</f>
        <v/>
      </c>
      <c r="F12" s="80">
        <f>'Bill 2 Internal Linings'!M37</f>
        <v/>
      </c>
    </row>
    <row r="13">
      <c r="A13" s="79" t="n">
        <v>2</v>
      </c>
      <c r="B13" s="79" t="inlineStr">
        <is>
          <t>2B</t>
        </is>
      </c>
      <c r="C13" s="79" t="inlineStr">
        <is>
          <t>Plasterboard ceilings (NRM2 28 / package DRY)</t>
        </is>
      </c>
      <c r="D13" s="80">
        <f>'Bill 2 Internal Linings'!K38</f>
        <v/>
      </c>
      <c r="E13" s="80">
        <f>'Bill 2 Internal Linings'!L38</f>
        <v/>
      </c>
      <c r="F13" s="80">
        <f>'Bill 2 Internal Linings'!M38</f>
        <v/>
      </c>
    </row>
    <row r="14">
      <c r="A14" s="79" t="n">
        <v>2</v>
      </c>
      <c r="B14" s="79" t="inlineStr">
        <is>
          <t>2C</t>
        </is>
      </c>
      <c r="C14" s="79" t="inlineStr">
        <is>
          <t>Jointing, beads and skim (NRM2 28 / package DRY)</t>
        </is>
      </c>
      <c r="D14" s="80">
        <f>'Bill 2 Internal Linings'!K39</f>
        <v/>
      </c>
      <c r="E14" s="80">
        <f>'Bill 2 Internal Linings'!L39</f>
        <v/>
      </c>
      <c r="F14" s="80">
        <f>'Bill 2 Internal Linings'!M39</f>
        <v/>
      </c>
    </row>
    <row r="15">
      <c r="A15" s="100" t="inlineStr">
        <is>
          <t>Bill 2 - Internal Linings - Plasterboard, Tape, Beads &amp; Skim (package DRY)</t>
        </is>
      </c>
      <c r="D15" s="82">
        <f>'Bill 2 Internal Linings'!K40</f>
        <v/>
      </c>
      <c r="E15" s="82">
        <f>'Bill 2 Internal Linings'!L40</f>
        <v/>
      </c>
      <c r="F15" s="82">
        <f>'Bill 2 Internal Linings'!M40</f>
        <v/>
      </c>
    </row>
    <row r="16">
      <c r="A16" s="79" t="n">
        <v>3</v>
      </c>
      <c r="B16" s="79" t="inlineStr">
        <is>
          <t>3A</t>
        </is>
      </c>
      <c r="C16" s="79" t="inlineStr">
        <is>
          <t>Internal doorsets (NRM2 24 / package JOI)</t>
        </is>
      </c>
      <c r="D16" s="80">
        <f>'Bill 3 Doors'!K28</f>
        <v/>
      </c>
      <c r="E16" s="80">
        <f>'Bill 3 Doors'!L28</f>
        <v/>
      </c>
      <c r="F16" s="80">
        <f>'Bill 3 Doors'!M28</f>
        <v/>
      </c>
    </row>
    <row r="17">
      <c r="A17" s="79" t="n">
        <v>3</v>
      </c>
      <c r="B17" s="79" t="inlineStr">
        <is>
          <t>3B</t>
        </is>
      </c>
      <c r="C17" s="79" t="inlineStr">
        <is>
          <t>Ironmongery (NRM2 24 / package JOI)</t>
        </is>
      </c>
      <c r="D17" s="80">
        <f>'Bill 3 Doors'!K29</f>
        <v/>
      </c>
      <c r="E17" s="80">
        <f>'Bill 3 Doors'!L29</f>
        <v/>
      </c>
      <c r="F17" s="80">
        <f>'Bill 3 Doors'!M29</f>
        <v/>
      </c>
    </row>
    <row r="18">
      <c r="A18" s="79" t="n">
        <v>3</v>
      </c>
      <c r="B18" s="79" t="inlineStr">
        <is>
          <t>3C</t>
        </is>
      </c>
      <c r="C18" s="79" t="inlineStr">
        <is>
          <t>External doorsets and windows (for information - supply by the window / door package)</t>
        </is>
      </c>
      <c r="D18" s="80">
        <f>'Bill 3 Doors'!K30</f>
        <v/>
      </c>
      <c r="E18" s="80">
        <f>'Bill 3 Doors'!L30</f>
        <v/>
      </c>
      <c r="F18" s="80">
        <f>'Bill 3 Doors'!M30</f>
        <v/>
      </c>
    </row>
    <row r="19">
      <c r="A19" s="100" t="inlineStr">
        <is>
          <t>Bill 3 - Internal Doors &amp; Ironmongery (package JOI)</t>
        </is>
      </c>
      <c r="D19" s="82">
        <f>'Bill 3 Doors'!K31</f>
        <v/>
      </c>
      <c r="E19" s="82">
        <f>'Bill 3 Doors'!L31</f>
        <v/>
      </c>
      <c r="F19" s="82">
        <f>'Bill 3 Doors'!M31</f>
        <v/>
      </c>
    </row>
    <row r="20">
      <c r="A20" s="79" t="n">
        <v>4</v>
      </c>
      <c r="B20" s="79" t="inlineStr">
        <is>
          <t>4A</t>
        </is>
      </c>
      <c r="C20" s="79" t="inlineStr">
        <is>
          <t>Skirtings (NRM2 22 / package JOI)</t>
        </is>
      </c>
      <c r="D20" s="80">
        <f>'Bill 4 Joinery'!K40</f>
        <v/>
      </c>
      <c r="E20" s="80">
        <f>'Bill 4 Joinery'!L40</f>
        <v/>
      </c>
      <c r="F20" s="80">
        <f>'Bill 4 Joinery'!M40</f>
        <v/>
      </c>
    </row>
    <row r="21">
      <c r="A21" s="79" t="n">
        <v>4</v>
      </c>
      <c r="B21" s="79" t="inlineStr">
        <is>
          <t>4B</t>
        </is>
      </c>
      <c r="C21" s="79" t="inlineStr">
        <is>
          <t>Architraves (NRM2 22 / package JOI)</t>
        </is>
      </c>
      <c r="D21" s="80">
        <f>'Bill 4 Joinery'!K41</f>
        <v/>
      </c>
      <c r="E21" s="80">
        <f>'Bill 4 Joinery'!L41</f>
        <v/>
      </c>
      <c r="F21" s="80">
        <f>'Bill 4 Joinery'!M41</f>
        <v/>
      </c>
    </row>
    <row r="22">
      <c r="A22" s="79" t="n">
        <v>4</v>
      </c>
      <c r="B22" s="79" t="inlineStr">
        <is>
          <t>4C</t>
        </is>
      </c>
      <c r="C22" s="79" t="inlineStr">
        <is>
          <t>Window boards (NRM2 22 / package JOI)</t>
        </is>
      </c>
      <c r="D22" s="80">
        <f>'Bill 4 Joinery'!K42</f>
        <v/>
      </c>
      <c r="E22" s="80">
        <f>'Bill 4 Joinery'!L42</f>
        <v/>
      </c>
      <c r="F22" s="80">
        <f>'Bill 4 Joinery'!M42</f>
        <v/>
      </c>
    </row>
    <row r="23">
      <c r="A23" s="79" t="n">
        <v>4</v>
      </c>
      <c r="B23" s="79" t="inlineStr">
        <is>
          <t>4D</t>
        </is>
      </c>
      <c r="C23" s="79" t="inlineStr">
        <is>
          <t>Loft access (NRM2 22 / package JOI)</t>
        </is>
      </c>
      <c r="D23" s="80">
        <f>'Bill 4 Joinery'!K43</f>
        <v/>
      </c>
      <c r="E23" s="80">
        <f>'Bill 4 Joinery'!L43</f>
        <v/>
      </c>
      <c r="F23" s="80">
        <f>'Bill 4 Joinery'!M43</f>
        <v/>
      </c>
    </row>
    <row r="24">
      <c r="A24" s="100" t="inlineStr">
        <is>
          <t>Bill 4 - Joinery - Skirtings, Architraves, Window Boards &amp; Loft Hatches (package JOI)</t>
        </is>
      </c>
      <c r="D24" s="82">
        <f>'Bill 4 Joinery'!K44</f>
        <v/>
      </c>
      <c r="E24" s="82">
        <f>'Bill 4 Joinery'!L44</f>
        <v/>
      </c>
      <c r="F24" s="82">
        <f>'Bill 4 Joinery'!M44</f>
        <v/>
      </c>
    </row>
    <row r="25">
      <c r="A25" s="79" t="n">
        <v>5</v>
      </c>
      <c r="B25" s="79" t="inlineStr">
        <is>
          <t>5A</t>
        </is>
      </c>
      <c r="C25" s="79" t="inlineStr">
        <is>
          <t>Timber stud partitions, non-loadbearing - framing (NRM2 16 / package JOI)</t>
        </is>
      </c>
      <c r="D25" s="80">
        <f>'Bill 5 Partitions'!K42</f>
        <v/>
      </c>
      <c r="E25" s="80">
        <f>'Bill 5 Partitions'!L42</f>
        <v/>
      </c>
      <c r="F25" s="80">
        <f>'Bill 5 Partitions'!M42</f>
        <v/>
      </c>
    </row>
    <row r="26">
      <c r="A26" s="79" t="n">
        <v>5</v>
      </c>
      <c r="B26" s="79" t="inlineStr">
        <is>
          <t>5B</t>
        </is>
      </c>
      <c r="C26" s="79" t="inlineStr">
        <is>
          <t>Partition timber - supply (NRM2 16 / package JOI)</t>
        </is>
      </c>
      <c r="D26" s="80">
        <f>'Bill 5 Partitions'!K43</f>
        <v/>
      </c>
      <c r="E26" s="80">
        <f>'Bill 5 Partitions'!L43</f>
        <v/>
      </c>
      <c r="F26" s="80">
        <f>'Bill 5 Partitions'!M43</f>
        <v/>
      </c>
    </row>
    <row r="27">
      <c r="A27" s="79" t="n">
        <v>5</v>
      </c>
      <c r="B27" s="79" t="inlineStr">
        <is>
          <t>5C</t>
        </is>
      </c>
      <c r="C27" s="79" t="inlineStr">
        <is>
          <t>Forming door openings in partitions (NRM2 16 / package JOI)</t>
        </is>
      </c>
      <c r="D27" s="80">
        <f>'Bill 5 Partitions'!K44</f>
        <v/>
      </c>
      <c r="E27" s="80">
        <f>'Bill 5 Partitions'!L44</f>
        <v/>
      </c>
      <c r="F27" s="80">
        <f>'Bill 5 Partitions'!M44</f>
        <v/>
      </c>
    </row>
    <row r="28">
      <c r="A28" s="79" t="n">
        <v>5</v>
      </c>
      <c r="B28" s="79" t="inlineStr">
        <is>
          <t>5D</t>
        </is>
      </c>
      <c r="C28" s="79" t="inlineStr">
        <is>
          <t>Pattresses, noggins to floor and roof structure, head restraint (NRM2 16 / package JOI)</t>
        </is>
      </c>
      <c r="D28" s="80">
        <f>'Bill 5 Partitions'!K45</f>
        <v/>
      </c>
      <c r="E28" s="80">
        <f>'Bill 5 Partitions'!L45</f>
        <v/>
      </c>
      <c r="F28" s="80">
        <f>'Bill 5 Partitions'!M45</f>
        <v/>
      </c>
    </row>
    <row r="29">
      <c r="A29" s="79" t="n">
        <v>5</v>
      </c>
      <c r="B29" s="79" t="inlineStr">
        <is>
          <t>5E</t>
        </is>
      </c>
      <c r="C29" s="79" t="inlineStr">
        <is>
          <t>Fixings and sundries (NRM2 16 / package JOI)</t>
        </is>
      </c>
      <c r="D29" s="80">
        <f>'Bill 5 Partitions'!K46</f>
        <v/>
      </c>
      <c r="E29" s="80">
        <f>'Bill 5 Partitions'!L46</f>
        <v/>
      </c>
      <c r="F29" s="80">
        <f>'Bill 5 Partitions'!M46</f>
        <v/>
      </c>
    </row>
    <row r="30">
      <c r="A30" s="100" t="inlineStr">
        <is>
          <t>Bill 5 - Timber Stud Partitions - Framing, Openings, Pattresses &amp; Fixings (package JOI)</t>
        </is>
      </c>
      <c r="D30" s="82">
        <f>'Bill 5 Partitions'!K47</f>
        <v/>
      </c>
      <c r="E30" s="82">
        <f>'Bill 5 Partitions'!L47</f>
        <v/>
      </c>
      <c r="F30" s="82">
        <f>'Bill 5 Partitions'!M47</f>
        <v/>
      </c>
    </row>
    <row r="31">
      <c r="A31" s="101" t="inlineStr">
        <is>
          <t>TOTAL - finishes / ancillary trades, net (agrees with the Cover overview)</t>
        </is>
      </c>
      <c r="D31" s="82">
        <f>D11+D15+D19+D24+D30</f>
        <v/>
      </c>
      <c r="E31" s="82">
        <f>E11+E15+E19+E24+E30</f>
        <v/>
      </c>
      <c r="F31" s="82">
        <f>F11+F15+F19+F24+F30</f>
        <v/>
      </c>
    </row>
    <row r="33" ht="26" customHeight="1">
      <c r="A33" s="102" t="inlineStr">
        <is>
          <t>Schedules A to D are reference schedules and are not priced. Preliminaries, overheads &amp; profit, contingency and the ICF package (BuildEase BOQ Builder) are applied on the Cover.</t>
        </is>
      </c>
    </row>
  </sheetData>
  <sheetProtection selectLockedCells="0" selectUnlockedCells="0" sheet="1" objects="0" insertRows="1" insertHyperlinks="1" autoFilter="1" scenarios="0" formatColumns="0" deleteColumns="1" insertColumns="1" pivotTables="1" deleteRows="1" formatCells="1" formatRows="0" sort="1"/>
  <mergeCells count="10">
    <mergeCell ref="A33:F33"/>
    <mergeCell ref="A19:C19"/>
    <mergeCell ref="A11:C11"/>
    <mergeCell ref="A31:C31"/>
    <mergeCell ref="C1:F1"/>
    <mergeCell ref="A30:C30"/>
    <mergeCell ref="A4:F4"/>
    <mergeCell ref="A15:C15"/>
    <mergeCell ref="C2:F2"/>
    <mergeCell ref="A24:C24"/>
  </mergeCells>
  <printOptions horizontalCentered="1"/>
  <pageMargins left="0.75" right="0.75" top="0.7" bottom="0.75" header="0.5" footer="0.5"/>
  <pageSetup orientation="portrait" paperSize="9" fitToHeight="0" fitToWidth="1"/>
  <headerFooter>
    <oddHeader>&amp;L&amp;8 BuildEase  |  ES26-080 Land to Rear of 1-8 Wesley Terrace, Castleside  |  Wannop Developments Ltd&amp;R&amp;8 Bill of Quantities Package - Finishes &amp;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outlinePr summaryBelow="1" summaryRight="1"/>
    <pageSetUpPr fitToPage="1"/>
  </sheetPr>
  <dimension ref="A1:N45"/>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1 - External Wall Finishes - Brick &amp; Stone Slips</t>
        </is>
      </c>
    </row>
    <row r="2" ht="26" customHeight="1">
      <c r="C2" s="103" t="inlineStr">
        <is>
          <t>Finishes applied to the outer face of the ICF walls: brick slips to units 01-15, stone slips to units 16-18 (SK11A).  [NRM2 21 / package CLD]</t>
        </is>
      </c>
    </row>
    <row r="3" ht="4" customHeight="1">
      <c r="A3" s="72" t="n"/>
      <c r="B3" s="72" t="n"/>
      <c r="C3" s="72" t="n"/>
      <c r="D3" s="72" t="n"/>
      <c r="E3" s="72" t="n"/>
      <c r="F3" s="72" t="n"/>
      <c r="G3" s="72" t="n"/>
      <c r="H3" s="72" t="n"/>
      <c r="I3" s="72" t="n"/>
      <c r="J3" s="72" t="n"/>
      <c r="K3" s="72" t="n"/>
      <c r="L3" s="72" t="n"/>
      <c r="M3" s="72" t="n"/>
      <c r="N3" s="72" t="n"/>
    </row>
    <row r="4" ht="48"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6" ht="30" customHeight="1">
      <c r="A6" s="78" t="inlineStr">
        <is>
          <t>Ref</t>
        </is>
      </c>
      <c r="B6" s="78" t="inlineStr">
        <is>
          <t>Description</t>
        </is>
      </c>
      <c r="C6" s="78" t="inlineStr">
        <is>
          <t>Unit</t>
        </is>
      </c>
      <c r="D6" s="78" t="inlineStr">
        <is>
          <t>T01_SEMI
per block</t>
        </is>
      </c>
      <c r="E6" s="78" t="inlineStr">
        <is>
          <t>T01_TER3 brick
per block</t>
        </is>
      </c>
      <c r="F6" s="78" t="inlineStr">
        <is>
          <t>T01_TER3 stone
per block</t>
        </is>
      </c>
      <c r="G6" s="78" t="inlineStr">
        <is>
          <t>T02_BUNG
per block</t>
        </is>
      </c>
      <c r="H6" s="78" t="inlineStr">
        <is>
          <t>Site total
qty</t>
        </is>
      </c>
      <c r="I6" s="78" t="inlineStr">
        <is>
          <t>Supply rate
£</t>
        </is>
      </c>
      <c r="J6" s="78" t="inlineStr">
        <is>
          <t>Install rate
£</t>
        </is>
      </c>
      <c r="K6" s="78" t="inlineStr">
        <is>
          <t>Supply
£</t>
        </is>
      </c>
      <c r="L6" s="78" t="inlineStr">
        <is>
          <t>Install
£</t>
        </is>
      </c>
      <c r="M6" s="78" t="inlineStr">
        <is>
          <t>Line total
£</t>
        </is>
      </c>
      <c r="N6" s="78" t="inlineStr">
        <is>
          <t>Notes</t>
        </is>
      </c>
    </row>
    <row r="7" ht="34" customHeight="1">
      <c r="B7" s="104" t="inlineStr">
        <is>
          <t>Number of blocks of each type (Site total = per-block qty x blocks)</t>
        </is>
      </c>
      <c r="D7" s="105" t="n">
        <v>2</v>
      </c>
      <c r="E7" s="105" t="n">
        <v>3</v>
      </c>
      <c r="F7" s="105" t="n">
        <v>1</v>
      </c>
      <c r="G7" s="105" t="n">
        <v>2</v>
      </c>
      <c r="H7" s="106">
        <f>SUM(D7:G7)</f>
        <v/>
      </c>
      <c r="N7" s="107" t="inlineStr">
        <is>
          <t>Blocks: T01_SEMI = B01, B04 (plots 01-02, 09-10); T01_TER3 brick = B02, B03, B05 (plots 03-08, 11-13); T01_TER3 stone = B08 (plots 16-18); T02_BUNG = B06, B07 (plots 14, 15)</t>
        </is>
      </c>
    </row>
    <row r="8">
      <c r="A8" s="100" t="inlineStr">
        <is>
          <t>1A  Brick slip system over ICF - units 01-15 (NRM2 21 / package CLD)</t>
        </is>
      </c>
    </row>
    <row r="9" ht="26" customHeight="1">
      <c r="B9" s="108" t="inlineStr">
        <is>
          <t>Brick slip system applied to the outer EPS face of the Nudura ICF (e.g. adhesive-fixed slips on a reinforced base coat, or a rail / board system - product, colour and fixing to match the SK11A brick and to be confirmed with the system supplier). Measured net of structural openings from DPC (FFL - 150) to the eaves soffit (5,320 HT01 / 2,320 HT02) and the gable rake to the drawn brick apex (8,255).</t>
        </is>
      </c>
    </row>
    <row r="10" ht="26" customHeight="1">
      <c r="A10" s="79" t="inlineStr">
        <is>
          <t>1A.1</t>
        </is>
      </c>
      <c r="B10" s="79" t="inlineStr">
        <is>
          <t>Brick slips to walls, Front elevation, net of openings</t>
        </is>
      </c>
      <c r="C10" s="79" t="inlineStr">
        <is>
          <t>m2</t>
        </is>
      </c>
      <c r="D10" s="109" t="n">
        <v>48.513</v>
      </c>
      <c r="E10" s="109" t="n">
        <v>71.676</v>
      </c>
      <c r="F10" s="109" t="n"/>
      <c r="G10" s="109" t="n">
        <v>21.997</v>
      </c>
      <c r="H10" s="94">
        <f>SUMPRODUCT($D$7:$G$7,D10:G10)</f>
        <v/>
      </c>
      <c r="I10" s="110" t="n"/>
      <c r="J10" s="110" t="n"/>
      <c r="K10" s="80">
        <f>N(H10)*N(I10)</f>
        <v/>
      </c>
      <c r="L10" s="80">
        <f>N(H10)*N(J10)</f>
        <v/>
      </c>
      <c r="M10" s="91">
        <f>K10+L10</f>
        <v/>
      </c>
      <c r="N10" s="111" t="inlineStr">
        <is>
          <t>Order guide +10% = 391.7; DPC (FFL-150) to eaves / verge</t>
        </is>
      </c>
    </row>
    <row r="11" ht="26" customHeight="1">
      <c r="A11" s="79" t="inlineStr">
        <is>
          <t>1A.2</t>
        </is>
      </c>
      <c r="B11" s="79" t="inlineStr">
        <is>
          <t>Brick slips to walls, Rear elevation, net of openings</t>
        </is>
      </c>
      <c r="C11" s="79" t="inlineStr">
        <is>
          <t>m2</t>
        </is>
      </c>
      <c r="D11" s="109" t="n">
        <v>47.982</v>
      </c>
      <c r="E11" s="109" t="n">
        <v>70.88</v>
      </c>
      <c r="F11" s="109" t="n"/>
      <c r="G11" s="109" t="n">
        <v>17.006</v>
      </c>
      <c r="H11" s="94">
        <f>SUMPRODUCT($D$7:$G$7,D11:G11)</f>
        <v/>
      </c>
      <c r="I11" s="110" t="n"/>
      <c r="J11" s="110" t="n"/>
      <c r="K11" s="80">
        <f>N(H11)*N(I11)</f>
        <v/>
      </c>
      <c r="L11" s="80">
        <f>N(H11)*N(J11)</f>
        <v/>
      </c>
      <c r="M11" s="91">
        <f>K11+L11</f>
        <v/>
      </c>
      <c r="N11" s="111" t="inlineStr">
        <is>
          <t>Order guide +10% = 376.9; DPC (FFL-150) to eaves / verge</t>
        </is>
      </c>
    </row>
    <row r="12" ht="26" customHeight="1">
      <c r="A12" s="79" t="inlineStr">
        <is>
          <t>1A.3</t>
        </is>
      </c>
      <c r="B12" s="79" t="inlineStr">
        <is>
          <t>Brick slips to walls, Gable elevations (end units, incl. gable triangle to the drawn apex), net of openings</t>
        </is>
      </c>
      <c r="C12" s="79" t="inlineStr">
        <is>
          <t>m2</t>
        </is>
      </c>
      <c r="D12" s="109" t="n">
        <v>138.056</v>
      </c>
      <c r="E12" s="109" t="n">
        <v>138.056</v>
      </c>
      <c r="F12" s="109" t="n"/>
      <c r="G12" s="109" t="n"/>
      <c r="H12" s="94">
        <f>SUMPRODUCT($D$7:$G$7,D12:G12)</f>
        <v/>
      </c>
      <c r="I12" s="110" t="n"/>
      <c r="J12" s="110" t="n"/>
      <c r="K12" s="80">
        <f>N(H12)*N(I12)</f>
        <v/>
      </c>
      <c r="L12" s="80">
        <f>N(H12)*N(J12)</f>
        <v/>
      </c>
      <c r="M12" s="91">
        <f>K12+L12</f>
        <v/>
      </c>
      <c r="N12" s="111" t="inlineStr">
        <is>
          <t>Order guide +10% = 759.3; DPC (FFL-150) to eaves / verge</t>
        </is>
      </c>
    </row>
    <row r="13" ht="26" customHeight="1">
      <c r="A13" s="79" t="inlineStr">
        <is>
          <t>1A.4</t>
        </is>
      </c>
      <c r="B13" s="79" t="inlineStr">
        <is>
          <t>Brick slips to walls, Side elevations (bungalow, hipped roof), net of openings</t>
        </is>
      </c>
      <c r="C13" s="79" t="inlineStr">
        <is>
          <t>m2</t>
        </is>
      </c>
      <c r="D13" s="109" t="n"/>
      <c r="E13" s="109" t="n"/>
      <c r="F13" s="109" t="n"/>
      <c r="G13" s="109" t="n">
        <v>35.815</v>
      </c>
      <c r="H13" s="94">
        <f>SUMPRODUCT($D$7:$G$7,D13:G13)</f>
        <v/>
      </c>
      <c r="I13" s="110" t="n"/>
      <c r="J13" s="110" t="n"/>
      <c r="K13" s="80">
        <f>N(H13)*N(I13)</f>
        <v/>
      </c>
      <c r="L13" s="80">
        <f>N(H13)*N(J13)</f>
        <v/>
      </c>
      <c r="M13" s="91">
        <f>K13+L13</f>
        <v/>
      </c>
      <c r="N13" s="111" t="inlineStr">
        <is>
          <t>Order guide +10% = 78.8; DPC (FFL-150) to eaves / verge</t>
        </is>
      </c>
    </row>
    <row r="14" ht="26" customHeight="1">
      <c r="A14" s="79" t="inlineStr">
        <is>
          <t>1A.5</t>
        </is>
      </c>
      <c r="B14" s="79" t="inlineStr">
        <is>
          <t>Brick slips to reveal returns, jambs and heads, 144 mm girth (frame set back 1/3)</t>
        </is>
      </c>
      <c r="C14" s="79" t="inlineStr">
        <is>
          <t>m2</t>
        </is>
      </c>
      <c r="D14" s="109" t="n">
        <v>9.439</v>
      </c>
      <c r="E14" s="109" t="n">
        <v>14.158</v>
      </c>
      <c r="F14" s="109" t="n"/>
      <c r="G14" s="109" t="n">
        <v>4.948</v>
      </c>
      <c r="H14" s="94">
        <f>SUMPRODUCT($D$7:$G$7,D14:G14)</f>
        <v/>
      </c>
      <c r="I14" s="110" t="n"/>
      <c r="J14" s="110" t="n"/>
      <c r="K14" s="80">
        <f>N(H14)*N(I14)</f>
        <v/>
      </c>
      <c r="L14" s="80">
        <f>N(H14)*N(J14)</f>
        <v/>
      </c>
      <c r="M14" s="91">
        <f>K14+L14</f>
        <v/>
      </c>
      <c r="N14" s="111" t="inlineStr">
        <is>
          <t>Order guide +10% = 78.4</t>
        </is>
      </c>
    </row>
    <row r="15" ht="26" customHeight="1">
      <c r="A15" s="79" t="inlineStr">
        <is>
          <t>1A.6</t>
        </is>
      </c>
      <c r="B15" s="79" t="inlineStr">
        <is>
          <t>Brick corner (L-shaped) slips, building external corners</t>
        </is>
      </c>
      <c r="C15" s="79" t="inlineStr">
        <is>
          <t>m</t>
        </is>
      </c>
      <c r="D15" s="109" t="n">
        <v>21.88</v>
      </c>
      <c r="E15" s="109" t="n">
        <v>21.88</v>
      </c>
      <c r="F15" s="109" t="n"/>
      <c r="G15" s="109" t="n">
        <v>9.880000000000001</v>
      </c>
      <c r="H15" s="94">
        <f>SUMPRODUCT($D$7:$G$7,D15:G15)</f>
        <v/>
      </c>
      <c r="I15" s="110" t="n"/>
      <c r="J15" s="110" t="n"/>
      <c r="K15" s="80">
        <f>N(H15)*N(I15)</f>
        <v/>
      </c>
      <c r="L15" s="80">
        <f>N(H15)*N(J15)</f>
        <v/>
      </c>
      <c r="M15" s="91">
        <f>K15+L15</f>
        <v/>
      </c>
      <c r="N15" s="111" t="inlineStr">
        <is>
          <t>Order guide +5% = 135.6</t>
        </is>
      </c>
    </row>
    <row r="16" ht="26" customHeight="1">
      <c r="A16" s="79" t="inlineStr">
        <is>
          <t>1A.7</t>
        </is>
      </c>
      <c r="B16" s="79" t="inlineStr">
        <is>
          <t>Brick corner slips / reveal returns at window and door jambs and heads</t>
        </is>
      </c>
      <c r="C16" s="79" t="inlineStr">
        <is>
          <t>m</t>
        </is>
      </c>
      <c r="D16" s="109" t="n">
        <v>65.76000000000001</v>
      </c>
      <c r="E16" s="109" t="n">
        <v>98.64</v>
      </c>
      <c r="F16" s="109" t="n"/>
      <c r="G16" s="109" t="n">
        <v>34.47</v>
      </c>
      <c r="H16" s="94">
        <f>SUMPRODUCT($D$7:$G$7,D16:G16)</f>
        <v/>
      </c>
      <c r="I16" s="110" t="n"/>
      <c r="J16" s="110" t="n"/>
      <c r="K16" s="80">
        <f>N(H16)*N(I16)</f>
        <v/>
      </c>
      <c r="L16" s="80">
        <f>N(H16)*N(J16)</f>
        <v/>
      </c>
      <c r="M16" s="91">
        <f>K16+L16</f>
        <v/>
      </c>
      <c r="N16" s="111" t="inlineStr">
        <is>
          <t>Order guide +5% = 521.2</t>
        </is>
      </c>
    </row>
    <row r="17" ht="26" customHeight="1">
      <c r="A17" s="79" t="inlineStr">
        <is>
          <t>1A.8</t>
        </is>
      </c>
      <c r="B17" s="79" t="inlineStr">
        <is>
          <t>Base support rail / starter track at DPC level, incl. weep / drip detail</t>
        </is>
      </c>
      <c r="C17" s="79" t="inlineStr">
        <is>
          <t>m</t>
        </is>
      </c>
      <c r="D17" s="109" t="n">
        <v>43.4</v>
      </c>
      <c r="E17" s="109" t="n">
        <v>54.75</v>
      </c>
      <c r="F17" s="109" t="n"/>
      <c r="G17" s="109" t="n">
        <v>38.6</v>
      </c>
      <c r="H17" s="94">
        <f>SUMPRODUCT($D$7:$G$7,D17:G17)</f>
        <v/>
      </c>
      <c r="I17" s="110" t="n"/>
      <c r="J17" s="110" t="n"/>
      <c r="K17" s="80">
        <f>N(H17)*N(I17)</f>
        <v/>
      </c>
      <c r="L17" s="80">
        <f>N(H17)*N(J17)</f>
        <v/>
      </c>
      <c r="M17" s="91">
        <f>K17+L17</f>
        <v/>
      </c>
      <c r="N17" s="111" t="inlineStr">
        <is>
          <t>Order guide +10% = 361.1</t>
        </is>
      </c>
    </row>
    <row r="18" ht="26" customHeight="1">
      <c r="A18" s="79" t="inlineStr">
        <is>
          <t>1A.9</t>
        </is>
      </c>
      <c r="B18" s="79" t="inlineStr">
        <is>
          <t>Head closure / stop trim at eaves soffit and along the gable verge rake</t>
        </is>
      </c>
      <c r="C18" s="79" t="inlineStr">
        <is>
          <t>m</t>
        </is>
      </c>
      <c r="D18" s="109" t="n">
        <v>46.479</v>
      </c>
      <c r="E18" s="109" t="n">
        <v>57.829</v>
      </c>
      <c r="F18" s="109" t="n"/>
      <c r="G18" s="109" t="n">
        <v>38.6</v>
      </c>
      <c r="H18" s="94">
        <f>SUMPRODUCT($D$7:$G$7,D18:G18)</f>
        <v/>
      </c>
      <c r="I18" s="110" t="n"/>
      <c r="J18" s="110" t="n"/>
      <c r="K18" s="80">
        <f>N(H18)*N(I18)</f>
        <v/>
      </c>
      <c r="L18" s="80">
        <f>N(H18)*N(J18)</f>
        <v/>
      </c>
      <c r="M18" s="91">
        <f>K18+L18</f>
        <v/>
      </c>
      <c r="N18" s="111" t="inlineStr">
        <is>
          <t>Order guide +10% = 378.0</t>
        </is>
      </c>
    </row>
    <row r="19" ht="26" customHeight="1">
      <c r="A19" s="79" t="inlineStr">
        <is>
          <t>1A.10</t>
        </is>
      </c>
      <c r="B19" s="79" t="inlineStr">
        <is>
          <t>Vertical movement joint at each party-wall line, front and rear faces, full height: backer rod and sealant</t>
        </is>
      </c>
      <c r="C19" s="79" t="inlineStr">
        <is>
          <t>m</t>
        </is>
      </c>
      <c r="D19" s="109" t="n">
        <v>10.94</v>
      </c>
      <c r="E19" s="109" t="n">
        <v>21.88</v>
      </c>
      <c r="F19" s="109" t="n"/>
      <c r="G19" s="109" t="n"/>
      <c r="H19" s="94">
        <f>SUMPRODUCT($D$7:$G$7,D19:G19)</f>
        <v/>
      </c>
      <c r="I19" s="110" t="n"/>
      <c r="J19" s="110" t="n"/>
      <c r="K19" s="80">
        <f>N(H19)*N(I19)</f>
        <v/>
      </c>
      <c r="L19" s="80">
        <f>N(H19)*N(J19)</f>
        <v/>
      </c>
      <c r="M19" s="91">
        <f>K19+L19</f>
        <v/>
      </c>
      <c r="N19" s="111" t="inlineStr">
        <is>
          <t>Positions / spacing to the slip-system supplier (add intermediate joints if required)</t>
        </is>
      </c>
    </row>
    <row r="20">
      <c r="A20" s="100" t="inlineStr">
        <is>
          <t>1B  Stone slip / thin stone veneer system over ICF - units 16-18, block B08 (NRM2 21 / package CLD)</t>
        </is>
      </c>
    </row>
    <row r="21" ht="26" customHeight="1">
      <c r="B21" s="108" t="inlineStr">
        <is>
          <t>Natural or reconstituted stone slip (thin veneer) system to match the SK11A stone elevations for units 16-18 (block B08), adhesive or rail fixed over the ICF EPS face. Product, coursing, weight and fixing to be confirmed with the supplier and the structural engineer. Measured as 1A.</t>
        </is>
      </c>
    </row>
    <row r="22" ht="26" customHeight="1">
      <c r="A22" s="79" t="inlineStr">
        <is>
          <t>1B.1</t>
        </is>
      </c>
      <c r="B22" s="79" t="inlineStr">
        <is>
          <t>Stone slips to walls, Front elevation, net of openings</t>
        </is>
      </c>
      <c r="C22" s="79" t="inlineStr">
        <is>
          <t>m2</t>
        </is>
      </c>
      <c r="D22" s="109" t="n"/>
      <c r="E22" s="109" t="n"/>
      <c r="F22" s="109" t="n">
        <v>71.676</v>
      </c>
      <c r="G22" s="109" t="n"/>
      <c r="H22" s="94">
        <f>SUMPRODUCT($D$7:$G$7,D22:G22)</f>
        <v/>
      </c>
      <c r="I22" s="110" t="n"/>
      <c r="J22" s="110" t="n"/>
      <c r="K22" s="80">
        <f>N(H22)*N(I22)</f>
        <v/>
      </c>
      <c r="L22" s="80">
        <f>N(H22)*N(J22)</f>
        <v/>
      </c>
      <c r="M22" s="91">
        <f>K22+L22</f>
        <v/>
      </c>
      <c r="N22" s="111" t="inlineStr">
        <is>
          <t>Order guide +10% = 78.8; DPC (FFL-150) to eaves / verge</t>
        </is>
      </c>
    </row>
    <row r="23" ht="26" customHeight="1">
      <c r="A23" s="79" t="inlineStr">
        <is>
          <t>1B.2</t>
        </is>
      </c>
      <c r="B23" s="79" t="inlineStr">
        <is>
          <t>Stone slips to walls, Rear elevation, net of openings</t>
        </is>
      </c>
      <c r="C23" s="79" t="inlineStr">
        <is>
          <t>m2</t>
        </is>
      </c>
      <c r="D23" s="109" t="n"/>
      <c r="E23" s="109" t="n"/>
      <c r="F23" s="109" t="n">
        <v>70.88</v>
      </c>
      <c r="G23" s="109" t="n"/>
      <c r="H23" s="94">
        <f>SUMPRODUCT($D$7:$G$7,D23:G23)</f>
        <v/>
      </c>
      <c r="I23" s="110" t="n"/>
      <c r="J23" s="110" t="n"/>
      <c r="K23" s="80">
        <f>N(H23)*N(I23)</f>
        <v/>
      </c>
      <c r="L23" s="80">
        <f>N(H23)*N(J23)</f>
        <v/>
      </c>
      <c r="M23" s="91">
        <f>K23+L23</f>
        <v/>
      </c>
      <c r="N23" s="111" t="inlineStr">
        <is>
          <t>Order guide +10% = 78.0; DPC (FFL-150) to eaves / verge</t>
        </is>
      </c>
    </row>
    <row r="24" ht="26" customHeight="1">
      <c r="A24" s="79" t="inlineStr">
        <is>
          <t>1B.3</t>
        </is>
      </c>
      <c r="B24" s="79" t="inlineStr">
        <is>
          <t>Stone slips to walls, Gable elevations (end units, incl. gable triangle to the drawn apex), net of openings</t>
        </is>
      </c>
      <c r="C24" s="79" t="inlineStr">
        <is>
          <t>m2</t>
        </is>
      </c>
      <c r="D24" s="109" t="n"/>
      <c r="E24" s="109" t="n"/>
      <c r="F24" s="109" t="n">
        <v>138.056</v>
      </c>
      <c r="G24" s="109" t="n"/>
      <c r="H24" s="94">
        <f>SUMPRODUCT($D$7:$G$7,D24:G24)</f>
        <v/>
      </c>
      <c r="I24" s="110" t="n"/>
      <c r="J24" s="110" t="n"/>
      <c r="K24" s="80">
        <f>N(H24)*N(I24)</f>
        <v/>
      </c>
      <c r="L24" s="80">
        <f>N(H24)*N(J24)</f>
        <v/>
      </c>
      <c r="M24" s="91">
        <f>K24+L24</f>
        <v/>
      </c>
      <c r="N24" s="111" t="inlineStr">
        <is>
          <t>Order guide +10% = 151.9; DPC (FFL-150) to eaves / verge</t>
        </is>
      </c>
    </row>
    <row r="25" ht="26" customHeight="1">
      <c r="A25" s="79" t="inlineStr">
        <is>
          <t>1B.4</t>
        </is>
      </c>
      <c r="B25" s="79" t="inlineStr">
        <is>
          <t>Stone slips to reveal returns, jambs and heads, 149 mm girth (frame set back 1/3)</t>
        </is>
      </c>
      <c r="C25" s="79" t="inlineStr">
        <is>
          <t>m2</t>
        </is>
      </c>
      <c r="D25" s="109" t="n"/>
      <c r="E25" s="109" t="n"/>
      <c r="F25" s="109" t="n">
        <v>14.651</v>
      </c>
      <c r="G25" s="109" t="n"/>
      <c r="H25" s="94">
        <f>SUMPRODUCT($D$7:$G$7,D25:G25)</f>
        <v/>
      </c>
      <c r="I25" s="110" t="n"/>
      <c r="J25" s="110" t="n"/>
      <c r="K25" s="80">
        <f>N(H25)*N(I25)</f>
        <v/>
      </c>
      <c r="L25" s="80">
        <f>N(H25)*N(J25)</f>
        <v/>
      </c>
      <c r="M25" s="91">
        <f>K25+L25</f>
        <v/>
      </c>
      <c r="N25" s="111" t="inlineStr">
        <is>
          <t>Order guide +10% = 16.1</t>
        </is>
      </c>
    </row>
    <row r="26" ht="26" customHeight="1">
      <c r="A26" s="79" t="inlineStr">
        <is>
          <t>1B.5</t>
        </is>
      </c>
      <c r="B26" s="79" t="inlineStr">
        <is>
          <t>Stone corner (L-shaped) slips, building external corners</t>
        </is>
      </c>
      <c r="C26" s="79" t="inlineStr">
        <is>
          <t>m</t>
        </is>
      </c>
      <c r="D26" s="109" t="n"/>
      <c r="E26" s="109" t="n"/>
      <c r="F26" s="109" t="n">
        <v>21.88</v>
      </c>
      <c r="G26" s="109" t="n"/>
      <c r="H26" s="94">
        <f>SUMPRODUCT($D$7:$G$7,D26:G26)</f>
        <v/>
      </c>
      <c r="I26" s="110" t="n"/>
      <c r="J26" s="110" t="n"/>
      <c r="K26" s="80">
        <f>N(H26)*N(I26)</f>
        <v/>
      </c>
      <c r="L26" s="80">
        <f>N(H26)*N(J26)</f>
        <v/>
      </c>
      <c r="M26" s="91">
        <f>K26+L26</f>
        <v/>
      </c>
      <c r="N26" s="111" t="inlineStr">
        <is>
          <t>Order guide +5% = 23.0</t>
        </is>
      </c>
    </row>
    <row r="27" ht="26" customHeight="1">
      <c r="A27" s="79" t="inlineStr">
        <is>
          <t>1B.6</t>
        </is>
      </c>
      <c r="B27" s="79" t="inlineStr">
        <is>
          <t>Stone corner slips / reveal returns at window and door jambs and heads</t>
        </is>
      </c>
      <c r="C27" s="79" t="inlineStr">
        <is>
          <t>m</t>
        </is>
      </c>
      <c r="D27" s="109" t="n"/>
      <c r="E27" s="109" t="n"/>
      <c r="F27" s="109" t="n">
        <v>98.64</v>
      </c>
      <c r="G27" s="109" t="n"/>
      <c r="H27" s="94">
        <f>SUMPRODUCT($D$7:$G$7,D27:G27)</f>
        <v/>
      </c>
      <c r="I27" s="110" t="n"/>
      <c r="J27" s="110" t="n"/>
      <c r="K27" s="80">
        <f>N(H27)*N(I27)</f>
        <v/>
      </c>
      <c r="L27" s="80">
        <f>N(H27)*N(J27)</f>
        <v/>
      </c>
      <c r="M27" s="91">
        <f>K27+L27</f>
        <v/>
      </c>
      <c r="N27" s="111" t="inlineStr">
        <is>
          <t>Order guide +5% = 103.6</t>
        </is>
      </c>
    </row>
    <row r="28" ht="26" customHeight="1">
      <c r="A28" s="79" t="inlineStr">
        <is>
          <t>1B.7</t>
        </is>
      </c>
      <c r="B28" s="79" t="inlineStr">
        <is>
          <t>Base support rail / starter track at DPC level, incl. weep / drip detail</t>
        </is>
      </c>
      <c r="C28" s="79" t="inlineStr">
        <is>
          <t>m</t>
        </is>
      </c>
      <c r="D28" s="109" t="n"/>
      <c r="E28" s="109" t="n"/>
      <c r="F28" s="109" t="n">
        <v>54.75</v>
      </c>
      <c r="G28" s="109" t="n"/>
      <c r="H28" s="94">
        <f>SUMPRODUCT($D$7:$G$7,D28:G28)</f>
        <v/>
      </c>
      <c r="I28" s="110" t="n"/>
      <c r="J28" s="110" t="n"/>
      <c r="K28" s="80">
        <f>N(H28)*N(I28)</f>
        <v/>
      </c>
      <c r="L28" s="80">
        <f>N(H28)*N(J28)</f>
        <v/>
      </c>
      <c r="M28" s="91">
        <f>K28+L28</f>
        <v/>
      </c>
      <c r="N28" s="111" t="inlineStr">
        <is>
          <t>Order guide +10% = 60.2</t>
        </is>
      </c>
    </row>
    <row r="29" ht="26" customHeight="1">
      <c r="A29" s="79" t="inlineStr">
        <is>
          <t>1B.8</t>
        </is>
      </c>
      <c r="B29" s="79" t="inlineStr">
        <is>
          <t>Head closure / stop trim at eaves soffit and along the gable verge rake</t>
        </is>
      </c>
      <c r="C29" s="79" t="inlineStr">
        <is>
          <t>m</t>
        </is>
      </c>
      <c r="D29" s="109" t="n"/>
      <c r="E29" s="109" t="n"/>
      <c r="F29" s="109" t="n">
        <v>57.829</v>
      </c>
      <c r="G29" s="109" t="n"/>
      <c r="H29" s="94">
        <f>SUMPRODUCT($D$7:$G$7,D29:G29)</f>
        <v/>
      </c>
      <c r="I29" s="110" t="n"/>
      <c r="J29" s="110" t="n"/>
      <c r="K29" s="80">
        <f>N(H29)*N(I29)</f>
        <v/>
      </c>
      <c r="L29" s="80">
        <f>N(H29)*N(J29)</f>
        <v/>
      </c>
      <c r="M29" s="91">
        <f>K29+L29</f>
        <v/>
      </c>
      <c r="N29" s="111" t="inlineStr">
        <is>
          <t>Order guide +10% = 63.6</t>
        </is>
      </c>
    </row>
    <row r="30" ht="26" customHeight="1">
      <c r="A30" s="79" t="inlineStr">
        <is>
          <t>1B.9</t>
        </is>
      </c>
      <c r="B30" s="79" t="inlineStr">
        <is>
          <t>Vertical movement joint at each party-wall line, front and rear faces, full height: backer rod and sealant</t>
        </is>
      </c>
      <c r="C30" s="79" t="inlineStr">
        <is>
          <t>m</t>
        </is>
      </c>
      <c r="D30" s="109" t="n"/>
      <c r="E30" s="109" t="n"/>
      <c r="F30" s="109" t="n">
        <v>21.88</v>
      </c>
      <c r="G30" s="109" t="n"/>
      <c r="H30" s="94">
        <f>SUMPRODUCT($D$7:$G$7,D30:G30)</f>
        <v/>
      </c>
      <c r="I30" s="110" t="n"/>
      <c r="J30" s="110" t="n"/>
      <c r="K30" s="80">
        <f>N(H30)*N(I30)</f>
        <v/>
      </c>
      <c r="L30" s="80">
        <f>N(H30)*N(J30)</f>
        <v/>
      </c>
      <c r="M30" s="91">
        <f>K30+L30</f>
        <v/>
      </c>
      <c r="N30" s="111" t="inlineStr">
        <is>
          <t>Positions / spacing to the slip-system supplier (add intermediate joints if required)</t>
        </is>
      </c>
    </row>
    <row r="31">
      <c r="A31" s="100" t="inlineStr">
        <is>
          <t>1C  Sloping plots - finishes and protection below DPC (PROVISIONAL; NRM2 21 / 17)</t>
        </is>
      </c>
    </row>
    <row r="32" ht="26" customHeight="1">
      <c r="B32" s="108" t="inlineStr">
        <is>
          <t>From the existing survey levels at each block corner (10G) and the stepped-footing rule FFL = mean corner ground + 150. Final external levels are not designed - re-measure on the engineer's / architect's finished levels. Per-block figures in Schedule D.</t>
        </is>
      </c>
    </row>
    <row r="33" ht="52" customHeight="1">
      <c r="A33" s="79" t="inlineStr">
        <is>
          <t>1C.1</t>
        </is>
      </c>
      <c r="B33" s="79" t="inlineStr">
        <is>
          <t>Exposed ICF face between DPC and existing ground on the low (fill) side: continue the slip finish down to finished ground (or below-DPC plinth finish / protection board)</t>
        </is>
      </c>
      <c r="C33" s="79" t="inlineStr">
        <is>
          <t>m2</t>
        </is>
      </c>
      <c r="D33" s="109" t="n"/>
      <c r="E33" s="109" t="n"/>
      <c r="F33" s="109" t="n"/>
      <c r="G33" s="109" t="n"/>
      <c r="H33" s="94" t="n">
        <v>83.31</v>
      </c>
      <c r="I33" s="110" t="n"/>
      <c r="J33" s="110" t="n"/>
      <c r="K33" s="80">
        <f>N(H33)*N(I33)</f>
        <v/>
      </c>
      <c r="L33" s="80">
        <f>N(H33)*N(J33)</f>
        <v/>
      </c>
      <c r="M33" s="91">
        <f>K33+L33</f>
        <v/>
      </c>
      <c r="N33" s="111" t="inlineStr">
        <is>
          <t>B01 9.7; B02 8.9; B03 15.1; B04 2.7; B05 16.4; B06 6.1; B07 9.5; B08 14.9</t>
        </is>
      </c>
    </row>
    <row r="34" ht="39" customHeight="1">
      <c r="A34" s="79" t="inlineStr">
        <is>
          <t>1C.2</t>
        </is>
      </c>
      <c r="B34" s="79" t="inlineStr">
        <is>
          <t>Ground above DPC against the ICF on the high (cut) side: waterproofing / tanking to the ICF face, protection board and perimeter drainage - or regrade to 150 below DPC</t>
        </is>
      </c>
      <c r="C34" s="79" t="inlineStr">
        <is>
          <t>m2</t>
        </is>
      </c>
      <c r="D34" s="109" t="n"/>
      <c r="E34" s="109" t="n"/>
      <c r="F34" s="109" t="n"/>
      <c r="G34" s="109" t="n"/>
      <c r="H34" s="94" t="n">
        <v>83.31</v>
      </c>
      <c r="I34" s="110" t="n"/>
      <c r="J34" s="110" t="n"/>
      <c r="K34" s="80">
        <f>N(H34)*N(I34)</f>
        <v/>
      </c>
      <c r="L34" s="80">
        <f>N(H34)*N(J34)</f>
        <v/>
      </c>
      <c r="M34" s="91">
        <f>K34+L34</f>
        <v/>
      </c>
      <c r="N34" s="111" t="inlineStr">
        <is>
          <t>B01 9.7; B02 8.9; B03 15.1; B04 2.7; B05 16.4; B06 6.1; B07 9.5; B08 14.9</t>
        </is>
      </c>
    </row>
    <row r="35">
      <c r="A35" s="100" t="inlineStr">
        <is>
          <t>1D  Coordination items (supply by others)</t>
        </is>
      </c>
    </row>
    <row r="36" ht="26" customHeight="1">
      <c r="A36" s="79" t="inlineStr">
        <is>
          <t>1D.1</t>
        </is>
      </c>
      <c r="B36" s="79" t="inlineStr">
        <is>
          <t>External window cills, measured at structural opening width (for coordination with the window package)</t>
        </is>
      </c>
      <c r="C36" s="79" t="inlineStr">
        <is>
          <t>m</t>
        </is>
      </c>
      <c r="D36" s="109" t="n">
        <v>14.52</v>
      </c>
      <c r="E36" s="109" t="n">
        <v>21.78</v>
      </c>
      <c r="F36" s="109" t="n">
        <v>21.78</v>
      </c>
      <c r="G36" s="109" t="n">
        <v>6.24</v>
      </c>
      <c r="H36" s="94">
        <f>SUMPRODUCT($D$7:$G$7,D36:G36)</f>
        <v/>
      </c>
      <c r="I36" s="110" t="n"/>
      <c r="J36" s="110" t="n"/>
      <c r="K36" s="80">
        <f>N(H36)*N(I36)</f>
        <v/>
      </c>
      <c r="L36" s="80">
        <f>N(H36)*N(J36)</f>
        <v/>
      </c>
      <c r="M36" s="91">
        <f>K36+L36</f>
        <v/>
      </c>
      <c r="N36" s="111" t="inlineStr">
        <is>
          <t>By window supplier - coordination only</t>
        </is>
      </c>
    </row>
    <row r="38" ht="20" customHeight="1">
      <c r="A38" s="90" t="inlineStr">
        <is>
          <t>PACKAGE SUMMARY  -  Bill 1  External Wall Finishes - Brick &amp; Stone Slips  (package CLD; amounts by others, excl. VAT)</t>
        </is>
      </c>
    </row>
    <row r="39" ht="30" customHeight="1">
      <c r="A39" s="78" t="inlineStr">
        <is>
          <t>Section</t>
        </is>
      </c>
      <c r="B39" s="78" t="inlineStr">
        <is>
          <t>Description</t>
        </is>
      </c>
      <c r="C39" s="96" t="n"/>
      <c r="D39" s="96" t="n"/>
      <c r="E39" s="96" t="n"/>
      <c r="F39" s="96" t="n"/>
      <c r="G39" s="96" t="n"/>
      <c r="H39" s="96" t="n"/>
      <c r="I39" s="96" t="n"/>
      <c r="J39" s="97" t="n"/>
      <c r="K39" s="78" t="inlineStr">
        <is>
          <t>Supply
£</t>
        </is>
      </c>
      <c r="L39" s="78" t="inlineStr">
        <is>
          <t>Install
£</t>
        </is>
      </c>
      <c r="M39" s="78" t="inlineStr">
        <is>
          <t>Total
£</t>
        </is>
      </c>
      <c r="N39" s="78" t="inlineStr"/>
    </row>
    <row r="40" ht="16" customHeight="1">
      <c r="A40" s="112" t="inlineStr">
        <is>
          <t>1A</t>
        </is>
      </c>
      <c r="B40" s="79" t="inlineStr">
        <is>
          <t>Brick slip system over ICF - units 01-15 (NRM2 21 / package CLD)</t>
        </is>
      </c>
      <c r="C40" s="85" t="n"/>
      <c r="D40" s="85" t="n"/>
      <c r="E40" s="85" t="n"/>
      <c r="F40" s="85" t="n"/>
      <c r="G40" s="85" t="n"/>
      <c r="H40" s="85" t="n"/>
      <c r="I40" s="85" t="n"/>
      <c r="J40" s="85" t="n"/>
      <c r="K40" s="80">
        <f>SUM(K9:K19)</f>
        <v/>
      </c>
      <c r="L40" s="80">
        <f>SUM(L9:L19)</f>
        <v/>
      </c>
      <c r="M40" s="91">
        <f>SUM(M9:M19)</f>
        <v/>
      </c>
    </row>
    <row r="41" ht="16" customHeight="1">
      <c r="A41" s="112" t="inlineStr">
        <is>
          <t>1B</t>
        </is>
      </c>
      <c r="B41" s="79" t="inlineStr">
        <is>
          <t>Stone slip / thin stone veneer system over ICF - units 16-18, block B08 (NRM2 21 / package CLD)</t>
        </is>
      </c>
      <c r="C41" s="85" t="n"/>
      <c r="D41" s="85" t="n"/>
      <c r="E41" s="85" t="n"/>
      <c r="F41" s="85" t="n"/>
      <c r="G41" s="85" t="n"/>
      <c r="H41" s="85" t="n"/>
      <c r="I41" s="85" t="n"/>
      <c r="J41" s="85" t="n"/>
      <c r="K41" s="80">
        <f>SUM(K21:K30)</f>
        <v/>
      </c>
      <c r="L41" s="80">
        <f>SUM(L21:L30)</f>
        <v/>
      </c>
      <c r="M41" s="91">
        <f>SUM(M21:M30)</f>
        <v/>
      </c>
    </row>
    <row r="42" ht="16" customHeight="1">
      <c r="A42" s="112" t="inlineStr">
        <is>
          <t>1C</t>
        </is>
      </c>
      <c r="B42" s="79" t="inlineStr">
        <is>
          <t>Sloping plots - finishes and protection below DPC (PROVISIONAL; NRM2 21 / 17)</t>
        </is>
      </c>
      <c r="C42" s="85" t="n"/>
      <c r="D42" s="85" t="n"/>
      <c r="E42" s="85" t="n"/>
      <c r="F42" s="85" t="n"/>
      <c r="G42" s="85" t="n"/>
      <c r="H42" s="85" t="n"/>
      <c r="I42" s="85" t="n"/>
      <c r="J42" s="85" t="n"/>
      <c r="K42" s="80">
        <f>SUM(K32:K34)</f>
        <v/>
      </c>
      <c r="L42" s="80">
        <f>SUM(L32:L34)</f>
        <v/>
      </c>
      <c r="M42" s="91">
        <f>SUM(M32:M34)</f>
        <v/>
      </c>
    </row>
    <row r="43" ht="16" customHeight="1">
      <c r="A43" s="112" t="inlineStr">
        <is>
          <t>1D</t>
        </is>
      </c>
      <c r="B43" s="79" t="inlineStr">
        <is>
          <t>Coordination items (supply by others)</t>
        </is>
      </c>
      <c r="C43" s="85" t="n"/>
      <c r="D43" s="85" t="n"/>
      <c r="E43" s="85" t="n"/>
      <c r="F43" s="85" t="n"/>
      <c r="G43" s="85" t="n"/>
      <c r="H43" s="85" t="n"/>
      <c r="I43" s="85" t="n"/>
      <c r="J43" s="85" t="n"/>
      <c r="K43" s="80">
        <f>SUM(K36:K36)</f>
        <v/>
      </c>
      <c r="L43" s="80">
        <f>SUM(L36:L36)</f>
        <v/>
      </c>
      <c r="M43" s="91">
        <f>SUM(M36:M36)</f>
        <v/>
      </c>
    </row>
    <row r="44" ht="20" customHeight="1">
      <c r="A44" s="113" t="inlineStr">
        <is>
          <t>PACKAGE TOTAL - Bill 1, carried to the Cover overview</t>
        </is>
      </c>
      <c r="K44" s="82">
        <f>SUM(K40:K43)</f>
        <v/>
      </c>
      <c r="L44" s="82">
        <f>SUM(L40:L43)</f>
        <v/>
      </c>
      <c r="M44" s="82">
        <f>SUM(M40:M43)</f>
        <v/>
      </c>
    </row>
    <row r="45" ht="24" customHeight="1">
      <c r="A45" s="92"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8">
    <mergeCell ref="A44:J44"/>
    <mergeCell ref="A8:N8"/>
    <mergeCell ref="A31:N31"/>
    <mergeCell ref="C2:N2"/>
    <mergeCell ref="C1:N1"/>
    <mergeCell ref="B9:N9"/>
    <mergeCell ref="A4:N4"/>
    <mergeCell ref="A35:N35"/>
    <mergeCell ref="A20:N20"/>
    <mergeCell ref="B32:N32"/>
    <mergeCell ref="A38:N38"/>
    <mergeCell ref="B42:J42"/>
    <mergeCell ref="A45:N45"/>
    <mergeCell ref="B40:J40"/>
    <mergeCell ref="B41:J41"/>
    <mergeCell ref="B21:N21"/>
    <mergeCell ref="B43:J43"/>
    <mergeCell ref="B39:J39"/>
  </mergeCells>
  <printOptions horizontalCentered="1"/>
  <pageMargins left="0.75" right="0.75" top="0.7" bottom="0.75" header="0.5" footer="0.5"/>
  <pageSetup orientation="landscape" paperSize="9" fitToHeight="0" fitToWidth="1"/>
  <headerFooter>
    <oddHeader>&amp;L&amp;8 BuildEase  |  ES26-080 Land to Rear of 1-8 Wesley Terrace, Castleside  |  Wannop Developments Ltd&amp;R&amp;8 Bill of Quantities Package - Finishes &amp;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outlinePr summaryBelow="1" summaryRight="1"/>
    <pageSetUpPr fitToPage="1"/>
  </sheetPr>
  <dimension ref="A1:N41"/>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2 - Internal Linings - Plasterboard, Tape, Beads &amp; Skim</t>
        </is>
      </c>
    </row>
    <row r="2" ht="26" customHeight="1">
      <c r="C2" s="103" t="inlineStr">
        <is>
          <t>Dry linings to the inside faces of the ICF walls, party walls, timber partitions, ceilings, reveals and stair.  [NRM2 28 / package DRY]</t>
        </is>
      </c>
    </row>
    <row r="3" ht="4" customHeight="1">
      <c r="A3" s="72" t="n"/>
      <c r="B3" s="72" t="n"/>
      <c r="C3" s="72" t="n"/>
      <c r="D3" s="72" t="n"/>
      <c r="E3" s="72" t="n"/>
      <c r="F3" s="72" t="n"/>
      <c r="G3" s="72" t="n"/>
      <c r="H3" s="72" t="n"/>
      <c r="I3" s="72" t="n"/>
      <c r="J3" s="72" t="n"/>
      <c r="K3" s="72" t="n"/>
      <c r="L3" s="72" t="n"/>
      <c r="M3" s="72" t="n"/>
      <c r="N3" s="72" t="n"/>
    </row>
    <row r="4" ht="48"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6" ht="30" customHeight="1">
      <c r="A6" s="78" t="inlineStr">
        <is>
          <t>Ref</t>
        </is>
      </c>
      <c r="B6" s="78" t="inlineStr">
        <is>
          <t>Description</t>
        </is>
      </c>
      <c r="C6" s="78" t="inlineStr">
        <is>
          <t>Unit</t>
        </is>
      </c>
      <c r="D6" s="78" t="inlineStr">
        <is>
          <t>T01_SEMI
per block</t>
        </is>
      </c>
      <c r="E6" s="78" t="inlineStr">
        <is>
          <t>T01_TER3 brick
per block</t>
        </is>
      </c>
      <c r="F6" s="78" t="inlineStr">
        <is>
          <t>T01_TER3 stone
per block</t>
        </is>
      </c>
      <c r="G6" s="78" t="inlineStr">
        <is>
          <t>T02_BUNG
per block</t>
        </is>
      </c>
      <c r="H6" s="78" t="inlineStr">
        <is>
          <t>Site total
qty</t>
        </is>
      </c>
      <c r="I6" s="78" t="inlineStr">
        <is>
          <t>Supply rate
£</t>
        </is>
      </c>
      <c r="J6" s="78" t="inlineStr">
        <is>
          <t>Install rate
£</t>
        </is>
      </c>
      <c r="K6" s="78" t="inlineStr">
        <is>
          <t>Supply
£</t>
        </is>
      </c>
      <c r="L6" s="78" t="inlineStr">
        <is>
          <t>Install
£</t>
        </is>
      </c>
      <c r="M6" s="78" t="inlineStr">
        <is>
          <t>Line total
£</t>
        </is>
      </c>
      <c r="N6" s="78" t="inlineStr">
        <is>
          <t>Notes</t>
        </is>
      </c>
    </row>
    <row r="7" ht="34" customHeight="1">
      <c r="B7" s="104" t="inlineStr">
        <is>
          <t>Number of blocks of each type (Site total = per-block qty x blocks)</t>
        </is>
      </c>
      <c r="D7" s="105" t="n">
        <v>2</v>
      </c>
      <c r="E7" s="105" t="n">
        <v>3</v>
      </c>
      <c r="F7" s="105" t="n">
        <v>1</v>
      </c>
      <c r="G7" s="105" t="n">
        <v>2</v>
      </c>
      <c r="H7" s="106">
        <f>SUM(D7:G7)</f>
        <v/>
      </c>
      <c r="N7" s="107" t="inlineStr">
        <is>
          <t>Blocks: T01_SEMI = B01, B04 (plots 01-02, 09-10); T01_TER3 brick = B02, B03, B05 (plots 03-08, 11-13); T01_TER3 stone = B08 (plots 16-18); T02_BUNG = B06, B07 (plots 14, 15)</t>
        </is>
      </c>
    </row>
    <row r="8">
      <c r="A8" s="100" t="inlineStr">
        <is>
          <t>2A  Plasterboard wall linings (NRM2 28 / package DRY)</t>
        </is>
      </c>
    </row>
    <row r="9" ht="26" customHeight="1">
      <c r="B9" s="108" t="inlineStr">
        <is>
          <t>Measured net on the finished room faces, per unit and summed per block. Heights: HT01 GF 0 to u/s FF joists 2,425; HT01 FF deck 2,700 to u/s truss chords 5,370 (2,670); HT02 0 to u/s truss chords 2,336. Openings deducted (external openings once; internal door gaps on both faces). Board types are proposals - confirm with the board supplier; ICF faces need mechanical fixings into the webs.</t>
        </is>
      </c>
    </row>
    <row r="10" ht="39" customHeight="1">
      <c r="A10" s="79" t="inlineStr">
        <is>
          <t>2A.1</t>
        </is>
      </c>
      <c r="B10" s="79" t="inlineStr">
        <is>
          <t>GF external walls - internal face of the ICF: 12.5 mm wallboard, adhesive dabs + mechanical fixings to the ICF webs (MR board in WC)</t>
        </is>
      </c>
      <c r="C10" s="79" t="inlineStr">
        <is>
          <t>m2</t>
        </is>
      </c>
      <c r="D10" s="109" t="n">
        <v>74.938</v>
      </c>
      <c r="E10" s="109" t="n">
        <v>90.64400000000001</v>
      </c>
      <c r="F10" s="109" t="n">
        <v>90.64400000000001</v>
      </c>
      <c r="G10" s="109" t="n">
        <v>61.054</v>
      </c>
      <c r="H10" s="94">
        <f>SUMPRODUCT($D$7:$G$7,D10:G10)</f>
        <v/>
      </c>
      <c r="I10" s="110" t="n"/>
      <c r="J10" s="110" t="n"/>
      <c r="K10" s="80">
        <f>N(H10)*N(I10)</f>
        <v/>
      </c>
      <c r="L10" s="80">
        <f>N(H10)*N(J10)</f>
        <v/>
      </c>
      <c r="M10" s="91">
        <f>K10+L10</f>
        <v/>
      </c>
      <c r="N10" s="111" t="inlineStr">
        <is>
          <t>Order guide +10% = 698.0</t>
        </is>
      </c>
    </row>
    <row r="11" ht="26" customHeight="1">
      <c r="A11" s="79" t="inlineStr">
        <is>
          <t>2A.2</t>
        </is>
      </c>
      <c r="B11" s="79" t="inlineStr">
        <is>
          <t>FF external walls - internal face of the ICF (HT01): 12.5 mm wallboard as above (MR board in bathroom)</t>
        </is>
      </c>
      <c r="C11" s="79" t="inlineStr">
        <is>
          <t>m2</t>
        </is>
      </c>
      <c r="D11" s="109" t="n">
        <v>91.816</v>
      </c>
      <c r="E11" s="109" t="n">
        <v>114.078</v>
      </c>
      <c r="F11" s="109" t="n">
        <v>114.078</v>
      </c>
      <c r="G11" s="109" t="n"/>
      <c r="H11" s="94">
        <f>SUMPRODUCT($D$7:$G$7,D11:G11)</f>
        <v/>
      </c>
      <c r="I11" s="110" t="n"/>
      <c r="J11" s="110" t="n"/>
      <c r="K11" s="80">
        <f>N(H11)*N(I11)</f>
        <v/>
      </c>
      <c r="L11" s="80">
        <f>N(H11)*N(J11)</f>
        <v/>
      </c>
      <c r="M11" s="91">
        <f>K11+L11</f>
        <v/>
      </c>
      <c r="N11" s="111" t="inlineStr">
        <is>
          <t>Order guide +10% = 703.9</t>
        </is>
      </c>
    </row>
    <row r="12" ht="39" customHeight="1">
      <c r="A12" s="79" t="inlineStr">
        <is>
          <t>2A.3</t>
        </is>
      </c>
      <c r="B12" s="79" t="inlineStr">
        <is>
          <t>GF party walls (ICF 6in Std) - each house side: 15 mm sound / fire board on dabs per the ICF separating-wall detail (confirm robust detail)</t>
        </is>
      </c>
      <c r="C12" s="79" t="inlineStr">
        <is>
          <t>m2</t>
        </is>
      </c>
      <c r="D12" s="109" t="n">
        <v>44.808</v>
      </c>
      <c r="E12" s="109" t="n">
        <v>89.03700000000001</v>
      </c>
      <c r="F12" s="109" t="n">
        <v>89.03700000000001</v>
      </c>
      <c r="G12" s="109" t="n"/>
      <c r="H12" s="94">
        <f>SUMPRODUCT($D$7:$G$7,D12:G12)</f>
        <v/>
      </c>
      <c r="I12" s="110" t="n"/>
      <c r="J12" s="110" t="n"/>
      <c r="K12" s="80">
        <f>N(H12)*N(I12)</f>
        <v/>
      </c>
      <c r="L12" s="80">
        <f>N(H12)*N(J12)</f>
        <v/>
      </c>
      <c r="M12" s="91">
        <f>K12+L12</f>
        <v/>
      </c>
      <c r="N12" s="111" t="inlineStr">
        <is>
          <t>Order guide +10% = 490.3</t>
        </is>
      </c>
    </row>
    <row r="13" ht="26" customHeight="1">
      <c r="A13" s="79" t="inlineStr">
        <is>
          <t>2A.4</t>
        </is>
      </c>
      <c r="B13" s="79" t="inlineStr">
        <is>
          <t>FF party walls (ICF 6in Std) - each house side: 15 mm sound / fire board as above</t>
        </is>
      </c>
      <c r="C13" s="79" t="inlineStr">
        <is>
          <t>m2</t>
        </is>
      </c>
      <c r="D13" s="109" t="n">
        <v>48.7</v>
      </c>
      <c r="E13" s="109" t="n">
        <v>96.764</v>
      </c>
      <c r="F13" s="109" t="n">
        <v>96.764</v>
      </c>
      <c r="G13" s="109" t="n"/>
      <c r="H13" s="94">
        <f>SUMPRODUCT($D$7:$G$7,D13:G13)</f>
        <v/>
      </c>
      <c r="I13" s="110" t="n"/>
      <c r="J13" s="110" t="n"/>
      <c r="K13" s="80">
        <f>N(H13)*N(I13)</f>
        <v/>
      </c>
      <c r="L13" s="80">
        <f>N(H13)*N(J13)</f>
        <v/>
      </c>
      <c r="M13" s="91">
        <f>K13+L13</f>
        <v/>
      </c>
      <c r="N13" s="111" t="inlineStr">
        <is>
          <t>Order guide +10% = 532.9</t>
        </is>
      </c>
    </row>
    <row r="14" ht="26" customHeight="1">
      <c r="A14" s="79" t="inlineStr">
        <is>
          <t>2A.5</t>
        </is>
      </c>
      <c r="B14" s="79" t="inlineStr">
        <is>
          <t>GF timber stud partitions - both faces: 15 mm board on 38 x 89 studs (119 build-up); MR in wet rooms</t>
        </is>
      </c>
      <c r="C14" s="79" t="inlineStr">
        <is>
          <t>m2</t>
        </is>
      </c>
      <c r="D14" s="109" t="n">
        <v>47.522</v>
      </c>
      <c r="E14" s="109" t="n">
        <v>71.40600000000001</v>
      </c>
      <c r="F14" s="109" t="n">
        <v>71.40600000000001</v>
      </c>
      <c r="G14" s="109" t="n">
        <v>95.627</v>
      </c>
      <c r="H14" s="94">
        <f>SUMPRODUCT($D$7:$G$7,D14:G14)</f>
        <v/>
      </c>
      <c r="I14" s="110" t="n"/>
      <c r="J14" s="110" t="n"/>
      <c r="K14" s="80">
        <f>N(H14)*N(I14)</f>
        <v/>
      </c>
      <c r="L14" s="80">
        <f>N(H14)*N(J14)</f>
        <v/>
      </c>
      <c r="M14" s="91">
        <f>K14+L14</f>
        <v/>
      </c>
      <c r="N14" s="111" t="inlineStr">
        <is>
          <t>Order guide +10% = 629.1</t>
        </is>
      </c>
    </row>
    <row r="15" ht="26" customHeight="1">
      <c r="A15" s="79" t="inlineStr">
        <is>
          <t>2A.6</t>
        </is>
      </c>
      <c r="B15" s="79" t="inlineStr">
        <is>
          <t>FF timber stud partitions - both faces: 15 mm board on 38 x 89 studs (119 build-up); MR in wet rooms</t>
        </is>
      </c>
      <c r="C15" s="79" t="inlineStr">
        <is>
          <t>m2</t>
        </is>
      </c>
      <c r="D15" s="109" t="n">
        <v>178.146</v>
      </c>
      <c r="E15" s="109" t="n">
        <v>267.422</v>
      </c>
      <c r="F15" s="109" t="n">
        <v>267.422</v>
      </c>
      <c r="G15" s="109" t="n"/>
      <c r="H15" s="94">
        <f>SUMPRODUCT($D$7:$G$7,D15:G15)</f>
        <v/>
      </c>
      <c r="I15" s="110" t="n"/>
      <c r="J15" s="110" t="n"/>
      <c r="K15" s="80">
        <f>N(H15)*N(I15)</f>
        <v/>
      </c>
      <c r="L15" s="80">
        <f>N(H15)*N(J15)</f>
        <v/>
      </c>
      <c r="M15" s="91">
        <f>K15+L15</f>
        <v/>
      </c>
      <c r="N15" s="111" t="inlineStr">
        <is>
          <t>Order guide +10% = 1,568.6</t>
        </is>
      </c>
    </row>
    <row r="16" ht="39" customHeight="1">
      <c r="A16" s="79" t="inlineStr">
        <is>
          <t>2A.7</t>
        </is>
      </c>
      <c r="B16" s="79" t="inlineStr">
        <is>
          <t>Under-stair spandrel / store closing panel - both faces (HT01): 12.5 mm board on 38 x 63 framing (framing by the stair installer)</t>
        </is>
      </c>
      <c r="C16" s="79" t="inlineStr">
        <is>
          <t>m2</t>
        </is>
      </c>
      <c r="D16" s="109" t="n">
        <v>8.923</v>
      </c>
      <c r="E16" s="109" t="n">
        <v>13.446</v>
      </c>
      <c r="F16" s="109" t="n">
        <v>13.446</v>
      </c>
      <c r="G16" s="109" t="n"/>
      <c r="H16" s="94">
        <f>SUMPRODUCT($D$7:$G$7,D16:G16)</f>
        <v/>
      </c>
      <c r="I16" s="110" t="n"/>
      <c r="J16" s="110" t="n"/>
      <c r="K16" s="80">
        <f>N(H16)*N(I16)</f>
        <v/>
      </c>
      <c r="L16" s="80">
        <f>N(H16)*N(J16)</f>
        <v/>
      </c>
      <c r="M16" s="91">
        <f>K16+L16</f>
        <v/>
      </c>
      <c r="N16" s="111" t="inlineStr">
        <is>
          <t>Order guide +10% = 78.8</t>
        </is>
      </c>
    </row>
    <row r="17" ht="26" customHeight="1">
      <c r="A17" s="79" t="inlineStr">
        <is>
          <t>2A.8</t>
        </is>
      </c>
      <c r="B17" s="79" t="inlineStr">
        <is>
          <t>Internal reveals to external windows and doors, jambs and heads, 195 mm deep: 12.5 mm board / bonding and skim</t>
        </is>
      </c>
      <c r="C17" s="79" t="inlineStr">
        <is>
          <t>m2</t>
        </is>
      </c>
      <c r="D17" s="109" t="n">
        <v>12.795</v>
      </c>
      <c r="E17" s="109" t="n">
        <v>19.192</v>
      </c>
      <c r="F17" s="109" t="n">
        <v>19.192</v>
      </c>
      <c r="G17" s="109" t="n">
        <v>6.707</v>
      </c>
      <c r="H17" s="94">
        <f>SUMPRODUCT($D$7:$G$7,D17:G17)</f>
        <v/>
      </c>
      <c r="I17" s="110" t="n"/>
      <c r="J17" s="110" t="n"/>
      <c r="K17" s="80">
        <f>N(H17)*N(I17)</f>
        <v/>
      </c>
      <c r="L17" s="80">
        <f>N(H17)*N(J17)</f>
        <v/>
      </c>
      <c r="M17" s="91">
        <f>K17+L17</f>
        <v/>
      </c>
      <c r="N17" s="111" t="inlineStr">
        <is>
          <t>Order guide +10% = 127.3</t>
        </is>
      </c>
    </row>
    <row r="18" ht="26" customHeight="1">
      <c r="A18" s="79" t="inlineStr">
        <is>
          <t>2A.9</t>
        </is>
      </c>
      <c r="B18" s="79" t="inlineStr">
        <is>
          <t>Stair-well floor-zone band (2,425-2,700) on the well side and end walls: 12.5 mm board</t>
        </is>
      </c>
      <c r="C18" s="79" t="inlineStr">
        <is>
          <t>m2</t>
        </is>
      </c>
      <c r="D18" s="109" t="n">
        <v>2.141</v>
      </c>
      <c r="E18" s="109" t="n">
        <v>3.211</v>
      </c>
      <c r="F18" s="109" t="n">
        <v>3.211</v>
      </c>
      <c r="G18" s="109" t="n"/>
      <c r="H18" s="94">
        <f>SUMPRODUCT($D$7:$G$7,D18:G18)</f>
        <v/>
      </c>
      <c r="I18" s="110" t="n"/>
      <c r="J18" s="110" t="n"/>
      <c r="K18" s="80">
        <f>N(H18)*N(I18)</f>
        <v/>
      </c>
      <c r="L18" s="80">
        <f>N(H18)*N(J18)</f>
        <v/>
      </c>
      <c r="M18" s="91">
        <f>K18+L18</f>
        <v/>
      </c>
      <c r="N18" s="111" t="inlineStr">
        <is>
          <t>HT01 only</t>
        </is>
      </c>
    </row>
    <row r="19">
      <c r="A19" s="100" t="inlineStr">
        <is>
          <t>2B  Plasterboard ceilings (NRM2 28 / package DRY)</t>
        </is>
      </c>
    </row>
    <row r="20" ht="26" customHeight="1">
      <c r="B20" s="108" t="inlineStr">
        <is>
          <t>Net plan areas of the rooms. HT01 GF ceiling is the u/s of the FF metal-web joist floor (internal floor, Part E: 40 dB - mineral wool in the joist zone is excluded); stair well deducted. Top-floor ceilings under the trusses carry a VCL. Multiply by layers for board.</t>
        </is>
      </c>
    </row>
    <row r="21" ht="26" customHeight="1">
      <c r="A21" s="79" t="inlineStr">
        <is>
          <t>2B.1</t>
        </is>
      </c>
      <c r="B21" s="79" t="inlineStr">
        <is>
          <t>HT01 GF ceilings, u/s FF joists (2,425): 12.5 mm wallboard (15 mm if the fire strategy requires)</t>
        </is>
      </c>
      <c r="C21" s="79" t="inlineStr">
        <is>
          <t>m2</t>
        </is>
      </c>
      <c r="D21" s="109" t="n">
        <v>92.07899999999999</v>
      </c>
      <c r="E21" s="109" t="n">
        <v>138.233</v>
      </c>
      <c r="F21" s="109" t="n">
        <v>138.233</v>
      </c>
      <c r="G21" s="109" t="n"/>
      <c r="H21" s="94">
        <f>SUMPRODUCT($D$7:$G$7,D21:G21)</f>
        <v/>
      </c>
      <c r="I21" s="110" t="n"/>
      <c r="J21" s="110" t="n"/>
      <c r="K21" s="80">
        <f>N(H21)*N(I21)</f>
        <v/>
      </c>
      <c r="L21" s="80">
        <f>N(H21)*N(J21)</f>
        <v/>
      </c>
      <c r="M21" s="91">
        <f>K21+L21</f>
        <v/>
      </c>
      <c r="N21" s="111" t="inlineStr">
        <is>
          <t>Order guide +10% = 810.8</t>
        </is>
      </c>
    </row>
    <row r="22" ht="26" customHeight="1">
      <c r="A22" s="79" t="inlineStr">
        <is>
          <t>2B.2</t>
        </is>
      </c>
      <c r="B22" s="79" t="inlineStr">
        <is>
          <t>HT01 FF ceilings, u/s truss bottom chords (5,370), incl. landing over the stair well: 12.5 mm board + 500g VCL</t>
        </is>
      </c>
      <c r="C22" s="79" t="inlineStr">
        <is>
          <t>m2</t>
        </is>
      </c>
      <c r="D22" s="109" t="n">
        <v>94.354</v>
      </c>
      <c r="E22" s="109" t="n">
        <v>141.645</v>
      </c>
      <c r="F22" s="109" t="n">
        <v>141.645</v>
      </c>
      <c r="G22" s="109" t="n"/>
      <c r="H22" s="94">
        <f>SUMPRODUCT($D$7:$G$7,D22:G22)</f>
        <v/>
      </c>
      <c r="I22" s="110" t="n"/>
      <c r="J22" s="110" t="n"/>
      <c r="K22" s="80">
        <f>N(H22)*N(I22)</f>
        <v/>
      </c>
      <c r="L22" s="80">
        <f>N(H22)*N(J22)</f>
        <v/>
      </c>
      <c r="M22" s="91">
        <f>K22+L22</f>
        <v/>
      </c>
      <c r="N22" s="111" t="inlineStr">
        <is>
          <t>Order guide +10% = 830.8</t>
        </is>
      </c>
    </row>
    <row r="23" ht="26" customHeight="1">
      <c r="A23" s="79" t="inlineStr">
        <is>
          <t>2B.3</t>
        </is>
      </c>
      <c r="B23" s="79" t="inlineStr">
        <is>
          <t>HT02 ceilings, u/s truss bottom chords (2,336): 12.5 mm board + 500g VCL</t>
        </is>
      </c>
      <c r="C23" s="79" t="inlineStr">
        <is>
          <t>m2</t>
        </is>
      </c>
      <c r="D23" s="109" t="n"/>
      <c r="E23" s="109" t="n"/>
      <c r="F23" s="109" t="n"/>
      <c r="G23" s="109" t="n">
        <v>71.125</v>
      </c>
      <c r="H23" s="94">
        <f>SUMPRODUCT($D$7:$G$7,D23:G23)</f>
        <v/>
      </c>
      <c r="I23" s="110" t="n"/>
      <c r="J23" s="110" t="n"/>
      <c r="K23" s="80">
        <f>N(H23)*N(I23)</f>
        <v/>
      </c>
      <c r="L23" s="80">
        <f>N(H23)*N(J23)</f>
        <v/>
      </c>
      <c r="M23" s="91">
        <f>K23+L23</f>
        <v/>
      </c>
      <c r="N23" s="111" t="inlineStr">
        <is>
          <t>Order guide +10% = 156.5</t>
        </is>
      </c>
    </row>
    <row r="24" ht="26" customHeight="1">
      <c r="A24" s="79" t="inlineStr">
        <is>
          <t>2B.4</t>
        </is>
      </c>
      <c r="B24" s="79" t="inlineStr">
        <is>
          <t>Stair soffit lining, sloping (13 treads x 288 going, 1000 wide, 33.8 deg): 12.5 mm board</t>
        </is>
      </c>
      <c r="C24" s="79" t="inlineStr">
        <is>
          <t>m2</t>
        </is>
      </c>
      <c r="D24" s="109" t="n">
        <v>9.012</v>
      </c>
      <c r="E24" s="109" t="n">
        <v>13.518</v>
      </c>
      <c r="F24" s="109" t="n">
        <v>13.518</v>
      </c>
      <c r="G24" s="109" t="n"/>
      <c r="H24" s="94">
        <f>SUMPRODUCT($D$7:$G$7,D24:G24)</f>
        <v/>
      </c>
      <c r="I24" s="110" t="n"/>
      <c r="J24" s="110" t="n"/>
      <c r="K24" s="80">
        <f>N(H24)*N(I24)</f>
        <v/>
      </c>
      <c r="L24" s="80">
        <f>N(H24)*N(J24)</f>
        <v/>
      </c>
      <c r="M24" s="91">
        <f>K24+L24</f>
        <v/>
      </c>
      <c r="N24" s="111" t="inlineStr">
        <is>
          <t>HT01 only; winders approximated as treads</t>
        </is>
      </c>
    </row>
    <row r="25">
      <c r="A25" s="100" t="inlineStr">
        <is>
          <t>2C  Jointing, beads and skim (NRM2 28 / package DRY)</t>
        </is>
      </c>
    </row>
    <row r="26" ht="26" customHeight="1">
      <c r="A26" s="79" t="inlineStr">
        <is>
          <t>2C.1</t>
        </is>
      </c>
      <c r="B26" s="79" t="inlineStr">
        <is>
          <t>Scrim tape, board joints (walls / 1.2 m; ceilings / 1.2 + 2.4 m)</t>
        </is>
      </c>
      <c r="C26" s="79" t="inlineStr">
        <is>
          <t>m</t>
        </is>
      </c>
      <c r="D26" s="109" t="n">
        <v>669.13</v>
      </c>
      <c r="E26" s="109" t="n">
        <v>1004.412</v>
      </c>
      <c r="F26" s="109" t="n">
        <v>1004.412</v>
      </c>
      <c r="G26" s="109" t="n">
        <v>225.063</v>
      </c>
      <c r="H26" s="94">
        <f>SUMPRODUCT($D$7:$G$7,D26:G26)</f>
        <v/>
      </c>
      <c r="I26" s="110" t="n"/>
      <c r="J26" s="110" t="n"/>
      <c r="K26" s="80">
        <f>N(H26)*N(I26)</f>
        <v/>
      </c>
      <c r="L26" s="80">
        <f>N(H26)*N(J26)</f>
        <v/>
      </c>
      <c r="M26" s="91">
        <f>K26+L26</f>
        <v/>
      </c>
      <c r="N26" s="111" t="inlineStr">
        <is>
          <t>Order guide +10% = 6,386.6</t>
        </is>
      </c>
    </row>
    <row r="27" ht="15" customHeight="1">
      <c r="A27" s="79" t="inlineStr">
        <is>
          <t>2C.2</t>
        </is>
      </c>
      <c r="B27" s="79" t="inlineStr">
        <is>
          <t>Scrim tape, internal angles wall to wall</t>
        </is>
      </c>
      <c r="C27" s="79" t="inlineStr">
        <is>
          <t>m</t>
        </is>
      </c>
      <c r="D27" s="109" t="n">
        <v>286.57</v>
      </c>
      <c r="E27" s="109" t="n">
        <v>431.19</v>
      </c>
      <c r="F27" s="109" t="n">
        <v>431.19</v>
      </c>
      <c r="G27" s="109" t="n">
        <v>84.096</v>
      </c>
      <c r="H27" s="94">
        <f>SUMPRODUCT($D$7:$G$7,D27:G27)</f>
        <v/>
      </c>
      <c r="I27" s="110" t="n"/>
      <c r="J27" s="110" t="n"/>
      <c r="K27" s="80">
        <f>N(H27)*N(I27)</f>
        <v/>
      </c>
      <c r="L27" s="80">
        <f>N(H27)*N(J27)</f>
        <v/>
      </c>
      <c r="M27" s="91">
        <f>K27+L27</f>
        <v/>
      </c>
      <c r="N27" s="111" t="inlineStr">
        <is>
          <t>Order guide +10% = 2,712.7</t>
        </is>
      </c>
    </row>
    <row r="28" ht="15" customHeight="1">
      <c r="A28" s="79" t="inlineStr">
        <is>
          <t>2C.3</t>
        </is>
      </c>
      <c r="B28" s="79" t="inlineStr">
        <is>
          <t>Scrim tape, wall to ceiling angles</t>
        </is>
      </c>
      <c r="C28" s="79" t="inlineStr">
        <is>
          <t>m</t>
        </is>
      </c>
      <c r="D28" s="109" t="n">
        <v>226.049</v>
      </c>
      <c r="E28" s="109" t="n">
        <v>339.276</v>
      </c>
      <c r="F28" s="109" t="n">
        <v>339.276</v>
      </c>
      <c r="G28" s="109" t="n">
        <v>85.02800000000001</v>
      </c>
      <c r="H28" s="94">
        <f>SUMPRODUCT($D$7:$G$7,D28:G28)</f>
        <v/>
      </c>
      <c r="I28" s="110" t="n"/>
      <c r="J28" s="110" t="n"/>
      <c r="K28" s="80">
        <f>N(H28)*N(I28)</f>
        <v/>
      </c>
      <c r="L28" s="80">
        <f>N(H28)*N(J28)</f>
        <v/>
      </c>
      <c r="M28" s="91">
        <f>K28+L28</f>
        <v/>
      </c>
      <c r="N28" s="111" t="inlineStr">
        <is>
          <t>Order guide +10% = 2,177.2</t>
        </is>
      </c>
    </row>
    <row r="29" ht="15" customHeight="1">
      <c r="A29" s="79" t="inlineStr">
        <is>
          <t>2C.4</t>
        </is>
      </c>
      <c r="B29" s="79" t="inlineStr">
        <is>
          <t>Angle / corner bead, external corners in rooms</t>
        </is>
      </c>
      <c r="C29" s="79" t="inlineStr">
        <is>
          <t>m</t>
        </is>
      </c>
      <c r="D29" s="109" t="n">
        <v>84.19</v>
      </c>
      <c r="E29" s="109" t="n">
        <v>127.62</v>
      </c>
      <c r="F29" s="109" t="n">
        <v>127.62</v>
      </c>
      <c r="G29" s="109" t="n">
        <v>23.36</v>
      </c>
      <c r="H29" s="94">
        <f>SUMPRODUCT($D$7:$G$7,D29:G29)</f>
        <v/>
      </c>
      <c r="I29" s="110" t="n"/>
      <c r="J29" s="110" t="n"/>
      <c r="K29" s="80">
        <f>N(H29)*N(I29)</f>
        <v/>
      </c>
      <c r="L29" s="80">
        <f>N(H29)*N(J29)</f>
        <v/>
      </c>
      <c r="M29" s="91">
        <f>K29+L29</f>
        <v/>
      </c>
      <c r="N29" s="111" t="inlineStr">
        <is>
          <t>Order guide +10% = 798.1</t>
        </is>
      </c>
    </row>
    <row r="30" ht="15" customHeight="1">
      <c r="A30" s="79" t="inlineStr">
        <is>
          <t>2C.5</t>
        </is>
      </c>
      <c r="B30" s="79" t="inlineStr">
        <is>
          <t>Angle bead, window and door reveals (jambs and heads)</t>
        </is>
      </c>
      <c r="C30" s="79" t="inlineStr">
        <is>
          <t>m</t>
        </is>
      </c>
      <c r="D30" s="109" t="n">
        <v>65.76000000000001</v>
      </c>
      <c r="E30" s="109" t="n">
        <v>98.64</v>
      </c>
      <c r="F30" s="109" t="n">
        <v>98.64</v>
      </c>
      <c r="G30" s="109" t="n">
        <v>34.47</v>
      </c>
      <c r="H30" s="94">
        <f>SUMPRODUCT($D$7:$G$7,D30:G30)</f>
        <v/>
      </c>
      <c r="I30" s="110" t="n"/>
      <c r="J30" s="110" t="n"/>
      <c r="K30" s="80">
        <f>N(H30)*N(I30)</f>
        <v/>
      </c>
      <c r="L30" s="80">
        <f>N(H30)*N(J30)</f>
        <v/>
      </c>
      <c r="M30" s="91">
        <f>K30+L30</f>
        <v/>
      </c>
      <c r="N30" s="111" t="inlineStr">
        <is>
          <t>Order guide +10% = 654.5</t>
        </is>
      </c>
    </row>
    <row r="31" ht="26" customHeight="1">
      <c r="A31" s="79" t="inlineStr">
        <is>
          <t>2C.6</t>
        </is>
      </c>
      <c r="B31" s="79" t="inlineStr">
        <is>
          <t>Skim coat, 2-3 mm, to all net wall, reveal and ceiling board faces</t>
        </is>
      </c>
      <c r="C31" s="79" t="inlineStr">
        <is>
          <t>m2</t>
        </is>
      </c>
      <c r="D31" s="109" t="n">
        <v>705.2329999999999</v>
      </c>
      <c r="E31" s="109" t="n">
        <v>1058.596</v>
      </c>
      <c r="F31" s="109" t="n">
        <v>1058.596</v>
      </c>
      <c r="G31" s="109" t="n">
        <v>234.513</v>
      </c>
      <c r="H31" s="94">
        <f>SUMPRODUCT($D$7:$G$7,D31:G31)</f>
        <v/>
      </c>
      <c r="I31" s="110" t="n"/>
      <c r="J31" s="110" t="n"/>
      <c r="K31" s="80">
        <f>N(H31)*N(I31)</f>
        <v/>
      </c>
      <c r="L31" s="80">
        <f>N(H31)*N(J31)</f>
        <v/>
      </c>
      <c r="M31" s="91">
        <f>K31+L31</f>
        <v/>
      </c>
      <c r="N31" s="111" t="inlineStr">
        <is>
          <t>Face layer only</t>
        </is>
      </c>
    </row>
    <row r="32">
      <c r="A32" s="100" t="inlineStr">
        <is>
          <t>2D  Ordering guide (not a measured item)</t>
        </is>
      </c>
    </row>
    <row r="33" ht="15" customHeight="1">
      <c r="A33" s="114" t="inlineStr">
        <is>
          <t>2D.1</t>
        </is>
      </c>
      <c r="B33" s="114" t="inlineStr">
        <is>
          <t>Plasterboard to purchase, all types, before waste</t>
        </is>
      </c>
      <c r="C33" s="114" t="inlineStr">
        <is>
          <t>m2</t>
        </is>
      </c>
      <c r="D33" s="115" t="n">
        <v>705.2329999999999</v>
      </c>
      <c r="E33" s="115" t="n">
        <v>1058.596</v>
      </c>
      <c r="F33" s="115" t="n">
        <v>1058.596</v>
      </c>
      <c r="G33" s="115" t="n">
        <v>234.513</v>
      </c>
      <c r="H33" s="115">
        <f>SUMPRODUCT($D$7:$G$7,D33:G33)</f>
        <v/>
      </c>
      <c r="I33" s="116" t="n"/>
      <c r="J33" s="116" t="n"/>
      <c r="K33" s="116" t="n"/>
      <c r="L33" s="116" t="n"/>
      <c r="M33" s="117" t="inlineStr">
        <is>
          <t>not priced</t>
        </is>
      </c>
      <c r="N33" s="118" t="inlineStr">
        <is>
          <t>Order guide +10% = 6,725.3 (guide only)</t>
        </is>
      </c>
    </row>
    <row r="35" ht="20" customHeight="1">
      <c r="A35" s="90" t="inlineStr">
        <is>
          <t>PACKAGE SUMMARY  -  Bill 2  Internal Linings - Plasterboard, Tape, Beads &amp; Skim  (package DRY; amounts by others, excl. VAT)</t>
        </is>
      </c>
    </row>
    <row r="36" ht="30" customHeight="1">
      <c r="A36" s="78" t="inlineStr">
        <is>
          <t>Section</t>
        </is>
      </c>
      <c r="B36" s="78" t="inlineStr">
        <is>
          <t>Description</t>
        </is>
      </c>
      <c r="C36" s="96" t="n"/>
      <c r="D36" s="96" t="n"/>
      <c r="E36" s="96" t="n"/>
      <c r="F36" s="96" t="n"/>
      <c r="G36" s="96" t="n"/>
      <c r="H36" s="96" t="n"/>
      <c r="I36" s="96" t="n"/>
      <c r="J36" s="97" t="n"/>
      <c r="K36" s="78" t="inlineStr">
        <is>
          <t>Supply
£</t>
        </is>
      </c>
      <c r="L36" s="78" t="inlineStr">
        <is>
          <t>Install
£</t>
        </is>
      </c>
      <c r="M36" s="78" t="inlineStr">
        <is>
          <t>Total
£</t>
        </is>
      </c>
      <c r="N36" s="78" t="inlineStr"/>
    </row>
    <row r="37" ht="16" customHeight="1">
      <c r="A37" s="112" t="inlineStr">
        <is>
          <t>2A</t>
        </is>
      </c>
      <c r="B37" s="79" t="inlineStr">
        <is>
          <t>Plasterboard wall linings (NRM2 28 / package DRY)</t>
        </is>
      </c>
      <c r="C37" s="85" t="n"/>
      <c r="D37" s="85" t="n"/>
      <c r="E37" s="85" t="n"/>
      <c r="F37" s="85" t="n"/>
      <c r="G37" s="85" t="n"/>
      <c r="H37" s="85" t="n"/>
      <c r="I37" s="85" t="n"/>
      <c r="J37" s="85" t="n"/>
      <c r="K37" s="80">
        <f>SUM(K9:K18)</f>
        <v/>
      </c>
      <c r="L37" s="80">
        <f>SUM(L9:L18)</f>
        <v/>
      </c>
      <c r="M37" s="91">
        <f>SUM(M9:M18)</f>
        <v/>
      </c>
    </row>
    <row r="38" ht="16" customHeight="1">
      <c r="A38" s="112" t="inlineStr">
        <is>
          <t>2B</t>
        </is>
      </c>
      <c r="B38" s="79" t="inlineStr">
        <is>
          <t>Plasterboard ceilings (NRM2 28 / package DRY)</t>
        </is>
      </c>
      <c r="C38" s="85" t="n"/>
      <c r="D38" s="85" t="n"/>
      <c r="E38" s="85" t="n"/>
      <c r="F38" s="85" t="n"/>
      <c r="G38" s="85" t="n"/>
      <c r="H38" s="85" t="n"/>
      <c r="I38" s="85" t="n"/>
      <c r="J38" s="85" t="n"/>
      <c r="K38" s="80">
        <f>SUM(K20:K24)</f>
        <v/>
      </c>
      <c r="L38" s="80">
        <f>SUM(L20:L24)</f>
        <v/>
      </c>
      <c r="M38" s="91">
        <f>SUM(M20:M24)</f>
        <v/>
      </c>
    </row>
    <row r="39" ht="16" customHeight="1">
      <c r="A39" s="112" t="inlineStr">
        <is>
          <t>2C</t>
        </is>
      </c>
      <c r="B39" s="79" t="inlineStr">
        <is>
          <t>Jointing, beads and skim (NRM2 28 / package DRY)</t>
        </is>
      </c>
      <c r="C39" s="85" t="n"/>
      <c r="D39" s="85" t="n"/>
      <c r="E39" s="85" t="n"/>
      <c r="F39" s="85" t="n"/>
      <c r="G39" s="85" t="n"/>
      <c r="H39" s="85" t="n"/>
      <c r="I39" s="85" t="n"/>
      <c r="J39" s="85" t="n"/>
      <c r="K39" s="80">
        <f>SUM(K26:K31)</f>
        <v/>
      </c>
      <c r="L39" s="80">
        <f>SUM(L26:L31)</f>
        <v/>
      </c>
      <c r="M39" s="91">
        <f>SUM(M26:M31)</f>
        <v/>
      </c>
    </row>
    <row r="40" ht="20" customHeight="1">
      <c r="A40" s="113" t="inlineStr">
        <is>
          <t>PACKAGE TOTAL - Bill 2, carried to the Cover overview</t>
        </is>
      </c>
      <c r="K40" s="82">
        <f>SUM(K37:K39)</f>
        <v/>
      </c>
      <c r="L40" s="82">
        <f>SUM(L37:L39)</f>
        <v/>
      </c>
      <c r="M40" s="82">
        <f>SUM(M37:M39)</f>
        <v/>
      </c>
    </row>
    <row r="41" ht="24" customHeight="1">
      <c r="A41" s="92"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6">
    <mergeCell ref="A8:N8"/>
    <mergeCell ref="C2:N2"/>
    <mergeCell ref="B37:J37"/>
    <mergeCell ref="C1:N1"/>
    <mergeCell ref="B9:N9"/>
    <mergeCell ref="A4:N4"/>
    <mergeCell ref="A35:N35"/>
    <mergeCell ref="A40:J40"/>
    <mergeCell ref="B36:J36"/>
    <mergeCell ref="A25:N25"/>
    <mergeCell ref="A41:N41"/>
    <mergeCell ref="A19:N19"/>
    <mergeCell ref="A32:N32"/>
    <mergeCell ref="B20:N20"/>
    <mergeCell ref="B38:J38"/>
    <mergeCell ref="B39:J39"/>
  </mergeCells>
  <printOptions horizontalCentered="1"/>
  <pageMargins left="0.75" right="0.75" top="0.7" bottom="0.75" header="0.5" footer="0.5"/>
  <pageSetup orientation="landscape" paperSize="9" fitToHeight="0" fitToWidth="1"/>
  <headerFooter>
    <oddHeader>&amp;L&amp;8 BuildEase  |  ES26-080 Land to Rear of 1-8 Wesley Terrace, Castleside  |  Wannop Developments Ltd&amp;R&amp;8 Bill of Quantities Package - Finishes &amp;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outlinePr summaryBelow="1" summaryRight="1"/>
    <pageSetUpPr fitToPage="1"/>
  </sheetPr>
  <dimension ref="A1:N32"/>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3 - Internal Doors &amp; Ironmongery</t>
        </is>
      </c>
    </row>
    <row r="2" ht="26" customHeight="1">
      <c r="C2" s="103" t="inlineStr">
        <is>
          <t>Internal doorsets and ironmongery per block; external doorsets and windows listed for coordination only.  [NRM2 24 / package JOI]</t>
        </is>
      </c>
    </row>
    <row r="3" ht="4" customHeight="1">
      <c r="A3" s="72" t="n"/>
      <c r="B3" s="72" t="n"/>
      <c r="C3" s="72" t="n"/>
      <c r="D3" s="72" t="n"/>
      <c r="E3" s="72" t="n"/>
      <c r="F3" s="72" t="n"/>
      <c r="G3" s="72" t="n"/>
      <c r="H3" s="72" t="n"/>
      <c r="I3" s="72" t="n"/>
      <c r="J3" s="72" t="n"/>
      <c r="K3" s="72" t="n"/>
      <c r="L3" s="72" t="n"/>
      <c r="M3" s="72" t="n"/>
      <c r="N3" s="72" t="n"/>
    </row>
    <row r="4" ht="48"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6" ht="30" customHeight="1">
      <c r="A6" s="78" t="inlineStr">
        <is>
          <t>Ref</t>
        </is>
      </c>
      <c r="B6" s="78" t="inlineStr">
        <is>
          <t>Description</t>
        </is>
      </c>
      <c r="C6" s="78" t="inlineStr">
        <is>
          <t>Unit</t>
        </is>
      </c>
      <c r="D6" s="78" t="inlineStr">
        <is>
          <t>T01_SEMI
per block</t>
        </is>
      </c>
      <c r="E6" s="78" t="inlineStr">
        <is>
          <t>T01_TER3 brick
per block</t>
        </is>
      </c>
      <c r="F6" s="78" t="inlineStr">
        <is>
          <t>T01_TER3 stone
per block</t>
        </is>
      </c>
      <c r="G6" s="78" t="inlineStr">
        <is>
          <t>T02_BUNG
per block</t>
        </is>
      </c>
      <c r="H6" s="78" t="inlineStr">
        <is>
          <t>Site total
qty</t>
        </is>
      </c>
      <c r="I6" s="78" t="inlineStr">
        <is>
          <t>Supply rate
£</t>
        </is>
      </c>
      <c r="J6" s="78" t="inlineStr">
        <is>
          <t>Install rate
£</t>
        </is>
      </c>
      <c r="K6" s="78" t="inlineStr">
        <is>
          <t>Supply
£</t>
        </is>
      </c>
      <c r="L6" s="78" t="inlineStr">
        <is>
          <t>Install
£</t>
        </is>
      </c>
      <c r="M6" s="78" t="inlineStr">
        <is>
          <t>Line total
£</t>
        </is>
      </c>
      <c r="N6" s="78" t="inlineStr">
        <is>
          <t>Notes</t>
        </is>
      </c>
    </row>
    <row r="7" ht="34" customHeight="1">
      <c r="B7" s="104" t="inlineStr">
        <is>
          <t>Number of blocks of each type (Site total = per-block qty x blocks)</t>
        </is>
      </c>
      <c r="D7" s="105" t="n">
        <v>2</v>
      </c>
      <c r="E7" s="105" t="n">
        <v>3</v>
      </c>
      <c r="F7" s="105" t="n">
        <v>1</v>
      </c>
      <c r="G7" s="105" t="n">
        <v>2</v>
      </c>
      <c r="H7" s="106">
        <f>SUM(D7:G7)</f>
        <v/>
      </c>
      <c r="N7" s="107" t="inlineStr">
        <is>
          <t>Blocks: T01_SEMI = B01, B04 (plots 01-02, 09-10); T01_TER3 brick = B02, B03, B05 (plots 03-08, 11-13); T01_TER3 stone = B08 (plots 16-18); T02_BUNG = B06, B07 (plots 14, 15)</t>
        </is>
      </c>
    </row>
    <row r="8">
      <c r="A8" s="100" t="inlineStr">
        <is>
          <t>3A  Internal doorsets (NRM2 24 / package JOI)</t>
        </is>
      </c>
    </row>
    <row r="9" ht="26" customHeight="1">
      <c r="B9" s="108" t="inlineStr">
        <is>
          <t>From the plan door gaps (WD_partitions.json, 140 site-wide): 900 gap -&gt; 826 x 2040 leaf; 800 -&gt; 726; 700 -&gt; 626. Linings 32 x 132 (119 partition + 13). Two-storey houses and bungalows: no fire doors required (no floor over 4.5 m, ADB Vol 1). Pre-hung doorsets or leaf + lining + stops; finish / style by the client.</t>
        </is>
      </c>
    </row>
    <row r="10" ht="26" customHeight="1">
      <c r="A10" s="79" t="inlineStr">
        <is>
          <t>3A.1</t>
        </is>
      </c>
      <c r="B10" s="79" t="inlineStr">
        <is>
          <t>Internal doorset, 626 x 2040 x 35 leaf, 32 x 132 lining set, stops, cupboard / store</t>
        </is>
      </c>
      <c r="C10" s="79" t="inlineStr">
        <is>
          <t>nr</t>
        </is>
      </c>
      <c r="D10" s="109" t="n">
        <v>6</v>
      </c>
      <c r="E10" s="109" t="n">
        <v>9</v>
      </c>
      <c r="F10" s="109" t="n">
        <v>9</v>
      </c>
      <c r="G10" s="109" t="n"/>
      <c r="H10" s="94">
        <f>SUMPRODUCT($D$7:$G$7,D10:G10)</f>
        <v/>
      </c>
      <c r="I10" s="110" t="n"/>
      <c r="J10" s="110" t="n"/>
      <c r="K10" s="80">
        <f>N(H10)*N(I10)</f>
        <v/>
      </c>
      <c r="L10" s="80">
        <f>N(H10)*N(J10)</f>
        <v/>
      </c>
      <c r="M10" s="91">
        <f>K10+L10</f>
        <v/>
      </c>
      <c r="N10" s="111" t="inlineStr">
        <is>
          <t>cupboard - landing; open-plan living - under-stair store</t>
        </is>
      </c>
    </row>
    <row r="11" ht="26" customHeight="1">
      <c r="A11" s="79" t="inlineStr">
        <is>
          <t>3A.2</t>
        </is>
      </c>
      <c r="B11" s="79" t="inlineStr">
        <is>
          <t>Internal doorset, 726 x 2040 x 35 leaf, 32 x 132 lining set, stops, cupboard / store</t>
        </is>
      </c>
      <c r="C11" s="79" t="inlineStr">
        <is>
          <t>nr</t>
        </is>
      </c>
      <c r="D11" s="109" t="n"/>
      <c r="E11" s="109" t="n"/>
      <c r="F11" s="109" t="n"/>
      <c r="G11" s="109" t="n">
        <v>3</v>
      </c>
      <c r="H11" s="94">
        <f>SUMPRODUCT($D$7:$G$7,D11:G11)</f>
        <v/>
      </c>
      <c r="I11" s="110" t="n"/>
      <c r="J11" s="110" t="n"/>
      <c r="K11" s="80">
        <f>N(H11)*N(I11)</f>
        <v/>
      </c>
      <c r="L11" s="80">
        <f>N(H11)*N(J11)</f>
        <v/>
      </c>
      <c r="M11" s="91">
        <f>K11+L11</f>
        <v/>
      </c>
      <c r="N11" s="111" t="inlineStr">
        <is>
          <t>bedroom 1 - cupboard; bedroom 2 - cupboard; cupboard - open-plan living</t>
        </is>
      </c>
    </row>
    <row r="12" ht="26" customHeight="1">
      <c r="A12" s="79" t="inlineStr">
        <is>
          <t>3A.3</t>
        </is>
      </c>
      <c r="B12" s="79" t="inlineStr">
        <is>
          <t>Internal doorset, 826 x 2040 x 35 leaf, 32 x 132 lining set, stops, bathroom / WC</t>
        </is>
      </c>
      <c r="C12" s="79" t="inlineStr">
        <is>
          <t>nr</t>
        </is>
      </c>
      <c r="D12" s="109" t="n">
        <v>4</v>
      </c>
      <c r="E12" s="109" t="n">
        <v>6</v>
      </c>
      <c r="F12" s="109" t="n">
        <v>6</v>
      </c>
      <c r="G12" s="109" t="n">
        <v>1</v>
      </c>
      <c r="H12" s="94">
        <f>SUMPRODUCT($D$7:$G$7,D12:G12)</f>
        <v/>
      </c>
      <c r="I12" s="110" t="n"/>
      <c r="J12" s="110" t="n"/>
      <c r="K12" s="80">
        <f>N(H12)*N(I12)</f>
        <v/>
      </c>
      <c r="L12" s="80">
        <f>N(H12)*N(J12)</f>
        <v/>
      </c>
      <c r="M12" s="91">
        <f>K12+L12</f>
        <v/>
      </c>
      <c r="N12" s="111" t="inlineStr">
        <is>
          <t>bathroom - landing; bathroom - open-plan living; open-plan living - wc</t>
        </is>
      </c>
    </row>
    <row r="13" ht="39" customHeight="1">
      <c r="A13" s="79" t="inlineStr">
        <is>
          <t>3A.4</t>
        </is>
      </c>
      <c r="B13" s="79" t="inlineStr">
        <is>
          <t>Internal doorset, 826 x 2040 x 35 leaf, 32 x 132 lining set, stops, habitable rooms</t>
        </is>
      </c>
      <c r="C13" s="79" t="inlineStr">
        <is>
          <t>nr</t>
        </is>
      </c>
      <c r="D13" s="109" t="n">
        <v>6</v>
      </c>
      <c r="E13" s="109" t="n">
        <v>9</v>
      </c>
      <c r="F13" s="109" t="n">
        <v>9</v>
      </c>
      <c r="G13" s="109" t="n">
        <v>2</v>
      </c>
      <c r="H13" s="94">
        <f>SUMPRODUCT($D$7:$G$7,D13:G13)</f>
        <v/>
      </c>
      <c r="I13" s="110" t="n"/>
      <c r="J13" s="110" t="n"/>
      <c r="K13" s="80">
        <f>N(H13)*N(I13)</f>
        <v/>
      </c>
      <c r="L13" s="80">
        <f>N(H13)*N(J13)</f>
        <v/>
      </c>
      <c r="M13" s="91">
        <f>K13+L13</f>
        <v/>
      </c>
      <c r="N13" s="111" t="inlineStr">
        <is>
          <t>bedroom 1 - landing; bedroom 1 - open-plan living; bedroom 2 - landing; bedroom 2 - open-plan living; bedroom 3 - landing</t>
        </is>
      </c>
    </row>
    <row r="14">
      <c r="A14" s="100" t="inlineStr">
        <is>
          <t>3B  Ironmongery (NRM2 24 / package JOI)</t>
        </is>
      </c>
    </row>
    <row r="15" ht="15" customHeight="1">
      <c r="A15" s="79" t="inlineStr">
        <is>
          <t>3B.1</t>
        </is>
      </c>
      <c r="B15" s="79" t="inlineStr">
        <is>
          <t>Butt hinges, 100 mm, pairs (1.5 pair per leaf)</t>
        </is>
      </c>
      <c r="C15" s="79" t="inlineStr">
        <is>
          <t>pr</t>
        </is>
      </c>
      <c r="D15" s="109" t="n">
        <v>24</v>
      </c>
      <c r="E15" s="109" t="n">
        <v>36</v>
      </c>
      <c r="F15" s="109" t="n">
        <v>36</v>
      </c>
      <c r="G15" s="109" t="n">
        <v>9</v>
      </c>
      <c r="H15" s="94">
        <f>SUMPRODUCT($D$7:$G$7,D15:G15)</f>
        <v/>
      </c>
      <c r="I15" s="110" t="n"/>
      <c r="J15" s="110" t="n"/>
      <c r="K15" s="80">
        <f>N(H15)*N(I15)</f>
        <v/>
      </c>
      <c r="L15" s="80">
        <f>N(H15)*N(J15)</f>
        <v/>
      </c>
      <c r="M15" s="91">
        <f>K15+L15</f>
        <v/>
      </c>
      <c r="N15" s="111" t="inlineStr">
        <is>
          <t>1.5 pr per leaf</t>
        </is>
      </c>
    </row>
    <row r="16" ht="15" customHeight="1">
      <c r="A16" s="79" t="inlineStr">
        <is>
          <t>3B.2</t>
        </is>
      </c>
      <c r="B16" s="79" t="inlineStr">
        <is>
          <t>Standard sets: tubular latch, lever pair on roses</t>
        </is>
      </c>
      <c r="C16" s="79" t="inlineStr">
        <is>
          <t>set</t>
        </is>
      </c>
      <c r="D16" s="109" t="n">
        <v>6</v>
      </c>
      <c r="E16" s="109" t="n">
        <v>9</v>
      </c>
      <c r="F16" s="109" t="n">
        <v>9</v>
      </c>
      <c r="G16" s="109" t="n">
        <v>2</v>
      </c>
      <c r="H16" s="94">
        <f>SUMPRODUCT($D$7:$G$7,D16:G16)</f>
        <v/>
      </c>
      <c r="I16" s="110" t="n"/>
      <c r="J16" s="110" t="n"/>
      <c r="K16" s="80">
        <f>N(H16)*N(I16)</f>
        <v/>
      </c>
      <c r="L16" s="80">
        <f>N(H16)*N(J16)</f>
        <v/>
      </c>
      <c r="M16" s="91">
        <f>K16+L16</f>
        <v/>
      </c>
      <c r="N16" s="111" t="inlineStr"/>
    </row>
    <row r="17" ht="26" customHeight="1">
      <c r="A17" s="79" t="inlineStr">
        <is>
          <t>3B.3</t>
        </is>
      </c>
      <c r="B17" s="79" t="inlineStr">
        <is>
          <t>Bathroom / WC sets: privacy lock, thumb-turn with emergency release, lever pair</t>
        </is>
      </c>
      <c r="C17" s="79" t="inlineStr">
        <is>
          <t>set</t>
        </is>
      </c>
      <c r="D17" s="109" t="n">
        <v>4</v>
      </c>
      <c r="E17" s="109" t="n">
        <v>6</v>
      </c>
      <c r="F17" s="109" t="n">
        <v>6</v>
      </c>
      <c r="G17" s="109" t="n">
        <v>1</v>
      </c>
      <c r="H17" s="94">
        <f>SUMPRODUCT($D$7:$G$7,D17:G17)</f>
        <v/>
      </c>
      <c r="I17" s="110" t="n"/>
      <c r="J17" s="110" t="n"/>
      <c r="K17" s="80">
        <f>N(H17)*N(I17)</f>
        <v/>
      </c>
      <c r="L17" s="80">
        <f>N(H17)*N(J17)</f>
        <v/>
      </c>
      <c r="M17" s="91">
        <f>K17+L17</f>
        <v/>
      </c>
      <c r="N17" s="111" t="inlineStr"/>
    </row>
    <row r="18" ht="26" customHeight="1">
      <c r="A18" s="79" t="inlineStr">
        <is>
          <t>3B.4</t>
        </is>
      </c>
      <c r="B18" s="79" t="inlineStr">
        <is>
          <t>Cupboard sets PER LEAF: magnetic / roller catch and pull handle</t>
        </is>
      </c>
      <c r="C18" s="79" t="inlineStr">
        <is>
          <t>set</t>
        </is>
      </c>
      <c r="D18" s="109" t="n">
        <v>6</v>
      </c>
      <c r="E18" s="109" t="n">
        <v>9</v>
      </c>
      <c r="F18" s="109" t="n">
        <v>9</v>
      </c>
      <c r="G18" s="109" t="n">
        <v>3</v>
      </c>
      <c r="H18" s="94">
        <f>SUMPRODUCT($D$7:$G$7,D18:G18)</f>
        <v/>
      </c>
      <c r="I18" s="110" t="n"/>
      <c r="J18" s="110" t="n"/>
      <c r="K18" s="80">
        <f>N(H18)*N(I18)</f>
        <v/>
      </c>
      <c r="L18" s="80">
        <f>N(H18)*N(J18)</f>
        <v/>
      </c>
      <c r="M18" s="91">
        <f>K18+L18</f>
        <v/>
      </c>
      <c r="N18" s="111" t="inlineStr">
        <is>
          <t>Per leaf (Tom 19.10)</t>
        </is>
      </c>
    </row>
    <row r="19" ht="15" customHeight="1">
      <c r="A19" s="79" t="inlineStr">
        <is>
          <t>3B.5</t>
        </is>
      </c>
      <c r="B19" s="79" t="inlineStr">
        <is>
          <t>Door stops, floor or skirting mounted</t>
        </is>
      </c>
      <c r="C19" s="79" t="inlineStr">
        <is>
          <t>nr</t>
        </is>
      </c>
      <c r="D19" s="109" t="n">
        <v>16</v>
      </c>
      <c r="E19" s="109" t="n">
        <v>24</v>
      </c>
      <c r="F19" s="109" t="n">
        <v>24</v>
      </c>
      <c r="G19" s="109" t="n">
        <v>6</v>
      </c>
      <c r="H19" s="94">
        <f>SUMPRODUCT($D$7:$G$7,D19:G19)</f>
        <v/>
      </c>
      <c r="I19" s="110" t="n"/>
      <c r="J19" s="110" t="n"/>
      <c r="K19" s="80">
        <f>N(H19)*N(I19)</f>
        <v/>
      </c>
      <c r="L19" s="80">
        <f>N(H19)*N(J19)</f>
        <v/>
      </c>
      <c r="M19" s="91">
        <f>K19+L19</f>
        <v/>
      </c>
      <c r="N19" s="111" t="inlineStr">
        <is>
          <t>One per leaf</t>
        </is>
      </c>
    </row>
    <row r="20" ht="13" customHeight="1">
      <c r="B20" s="108" t="inlineStr">
        <is>
          <t>Flush bolts (one per double / pair door, fixed leaf): 0 - no pair doors on ES26-080 (all gaps &lt;= 900).</t>
        </is>
      </c>
    </row>
    <row r="21">
      <c r="A21" s="100" t="inlineStr">
        <is>
          <t>3C  External doorsets and windows (for information - supply by the window / door package)</t>
        </is>
      </c>
    </row>
    <row r="22" ht="26" customHeight="1">
      <c r="A22" s="79" t="inlineStr">
        <is>
          <t>3C.1</t>
        </is>
      </c>
      <c r="B22" s="79" t="inlineStr">
        <is>
          <t>Front entrance doorset, composite, 1,110 x 2,100 structural opening, multi-point lock, PAS 24 / SBD</t>
        </is>
      </c>
      <c r="C22" s="79" t="inlineStr">
        <is>
          <t>nr</t>
        </is>
      </c>
      <c r="D22" s="109" t="n">
        <v>2</v>
      </c>
      <c r="E22" s="109" t="n">
        <v>3</v>
      </c>
      <c r="F22" s="109" t="n">
        <v>3</v>
      </c>
      <c r="G22" s="109" t="n">
        <v>1</v>
      </c>
      <c r="H22" s="94">
        <f>SUMPRODUCT($D$7:$G$7,D22:G22)</f>
        <v/>
      </c>
      <c r="I22" s="110" t="n"/>
      <c r="J22" s="110" t="n"/>
      <c r="K22" s="80">
        <f>N(H22)*N(I22)</f>
        <v/>
      </c>
      <c r="L22" s="80">
        <f>N(H22)*N(J22)</f>
        <v/>
      </c>
      <c r="M22" s="91">
        <f>K22+L22</f>
        <v/>
      </c>
      <c r="N22" s="111" t="inlineStr">
        <is>
          <t>Coordination only</t>
        </is>
      </c>
    </row>
    <row r="23" ht="26" customHeight="1">
      <c r="A23" s="79" t="inlineStr">
        <is>
          <t>3C.2</t>
        </is>
      </c>
      <c r="B23" s="79" t="inlineStr">
        <is>
          <t>Rear bifold doorset, 3-leaf, 2,610 x 2,100 structural opening, low threshold, PAS 24</t>
        </is>
      </c>
      <c r="C23" s="79" t="inlineStr">
        <is>
          <t>nr</t>
        </is>
      </c>
      <c r="D23" s="109" t="n">
        <v>2</v>
      </c>
      <c r="E23" s="109" t="n">
        <v>3</v>
      </c>
      <c r="F23" s="109" t="n">
        <v>3</v>
      </c>
      <c r="G23" s="109" t="n">
        <v>2</v>
      </c>
      <c r="H23" s="94">
        <f>SUMPRODUCT($D$7:$G$7,D23:G23)</f>
        <v/>
      </c>
      <c r="I23" s="110" t="n"/>
      <c r="J23" s="110" t="n"/>
      <c r="K23" s="80">
        <f>N(H23)*N(I23)</f>
        <v/>
      </c>
      <c r="L23" s="80">
        <f>N(H23)*N(J23)</f>
        <v/>
      </c>
      <c r="M23" s="91">
        <f>K23+L23</f>
        <v/>
      </c>
      <c r="N23" s="111" t="inlineStr">
        <is>
          <t>Coordination only</t>
        </is>
      </c>
    </row>
    <row r="24" ht="15" customHeight="1">
      <c r="A24" s="79" t="inlineStr">
        <is>
          <t>3C.3</t>
        </is>
      </c>
      <c r="B24" s="79" t="inlineStr">
        <is>
          <t>Windows, uPVC casement (sizes in Schedule B)</t>
        </is>
      </c>
      <c r="C24" s="79" t="inlineStr">
        <is>
          <t>nr</t>
        </is>
      </c>
      <c r="D24" s="109" t="n">
        <v>12</v>
      </c>
      <c r="E24" s="109" t="n">
        <v>18</v>
      </c>
      <c r="F24" s="109" t="n">
        <v>18</v>
      </c>
      <c r="G24" s="109" t="n">
        <v>4</v>
      </c>
      <c r="H24" s="94">
        <f>SUMPRODUCT($D$7:$G$7,D24:G24)</f>
        <v/>
      </c>
      <c r="I24" s="110" t="n"/>
      <c r="J24" s="110" t="n"/>
      <c r="K24" s="80">
        <f>N(H24)*N(I24)</f>
        <v/>
      </c>
      <c r="L24" s="80">
        <f>N(H24)*N(J24)</f>
        <v/>
      </c>
      <c r="M24" s="91">
        <f>K24+L24</f>
        <v/>
      </c>
      <c r="N24" s="111" t="inlineStr">
        <is>
          <t>Coordination only</t>
        </is>
      </c>
    </row>
    <row r="26" ht="20" customHeight="1">
      <c r="A26" s="90" t="inlineStr">
        <is>
          <t>PACKAGE SUMMARY  -  Bill 3  Internal Doors &amp; Ironmongery  (package JOI; amounts by others, excl. VAT)</t>
        </is>
      </c>
    </row>
    <row r="27" ht="30" customHeight="1">
      <c r="A27" s="78" t="inlineStr">
        <is>
          <t>Section</t>
        </is>
      </c>
      <c r="B27" s="78" t="inlineStr">
        <is>
          <t>Description</t>
        </is>
      </c>
      <c r="C27" s="96" t="n"/>
      <c r="D27" s="96" t="n"/>
      <c r="E27" s="96" t="n"/>
      <c r="F27" s="96" t="n"/>
      <c r="G27" s="96" t="n"/>
      <c r="H27" s="96" t="n"/>
      <c r="I27" s="96" t="n"/>
      <c r="J27" s="97" t="n"/>
      <c r="K27" s="78" t="inlineStr">
        <is>
          <t>Supply
£</t>
        </is>
      </c>
      <c r="L27" s="78" t="inlineStr">
        <is>
          <t>Install
£</t>
        </is>
      </c>
      <c r="M27" s="78" t="inlineStr">
        <is>
          <t>Total
£</t>
        </is>
      </c>
      <c r="N27" s="78" t="inlineStr"/>
    </row>
    <row r="28" ht="16" customHeight="1">
      <c r="A28" s="112" t="inlineStr">
        <is>
          <t>3A</t>
        </is>
      </c>
      <c r="B28" s="79" t="inlineStr">
        <is>
          <t>Internal doorsets (NRM2 24 / package JOI)</t>
        </is>
      </c>
      <c r="C28" s="85" t="n"/>
      <c r="D28" s="85" t="n"/>
      <c r="E28" s="85" t="n"/>
      <c r="F28" s="85" t="n"/>
      <c r="G28" s="85" t="n"/>
      <c r="H28" s="85" t="n"/>
      <c r="I28" s="85" t="n"/>
      <c r="J28" s="85" t="n"/>
      <c r="K28" s="80">
        <f>SUM(K9:K13)</f>
        <v/>
      </c>
      <c r="L28" s="80">
        <f>SUM(L9:L13)</f>
        <v/>
      </c>
      <c r="M28" s="91">
        <f>SUM(M9:M13)</f>
        <v/>
      </c>
    </row>
    <row r="29" ht="16" customHeight="1">
      <c r="A29" s="112" t="inlineStr">
        <is>
          <t>3B</t>
        </is>
      </c>
      <c r="B29" s="79" t="inlineStr">
        <is>
          <t>Ironmongery (NRM2 24 / package JOI)</t>
        </is>
      </c>
      <c r="C29" s="85" t="n"/>
      <c r="D29" s="85" t="n"/>
      <c r="E29" s="85" t="n"/>
      <c r="F29" s="85" t="n"/>
      <c r="G29" s="85" t="n"/>
      <c r="H29" s="85" t="n"/>
      <c r="I29" s="85" t="n"/>
      <c r="J29" s="85" t="n"/>
      <c r="K29" s="80">
        <f>SUM(K15:K20)</f>
        <v/>
      </c>
      <c r="L29" s="80">
        <f>SUM(L15:L20)</f>
        <v/>
      </c>
      <c r="M29" s="91">
        <f>SUM(M15:M20)</f>
        <v/>
      </c>
    </row>
    <row r="30" ht="16" customHeight="1">
      <c r="A30" s="112" t="inlineStr">
        <is>
          <t>3C</t>
        </is>
      </c>
      <c r="B30" s="79" t="inlineStr">
        <is>
          <t>External doorsets and windows (for information - supply by the window / door package)</t>
        </is>
      </c>
      <c r="C30" s="85" t="n"/>
      <c r="D30" s="85" t="n"/>
      <c r="E30" s="85" t="n"/>
      <c r="F30" s="85" t="n"/>
      <c r="G30" s="85" t="n"/>
      <c r="H30" s="85" t="n"/>
      <c r="I30" s="85" t="n"/>
      <c r="J30" s="85" t="n"/>
      <c r="K30" s="80">
        <f>SUM(K22:K24)</f>
        <v/>
      </c>
      <c r="L30" s="80">
        <f>SUM(L22:L24)</f>
        <v/>
      </c>
      <c r="M30" s="91">
        <f>SUM(M22:M24)</f>
        <v/>
      </c>
    </row>
    <row r="31" ht="20" customHeight="1">
      <c r="A31" s="113" t="inlineStr">
        <is>
          <t>PACKAGE TOTAL - Bill 3, carried to the Cover overview</t>
        </is>
      </c>
      <c r="K31" s="82">
        <f>SUM(K28:K30)</f>
        <v/>
      </c>
      <c r="L31" s="82">
        <f>SUM(L28:L30)</f>
        <v/>
      </c>
      <c r="M31" s="82">
        <f>SUM(M28:M30)</f>
        <v/>
      </c>
    </row>
    <row r="32" ht="24" customHeight="1">
      <c r="A32" s="92"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5">
    <mergeCell ref="B29:J29"/>
    <mergeCell ref="A8:N8"/>
    <mergeCell ref="C2:N2"/>
    <mergeCell ref="A31:J31"/>
    <mergeCell ref="C1:N1"/>
    <mergeCell ref="B9:N9"/>
    <mergeCell ref="A4:N4"/>
    <mergeCell ref="B28:J28"/>
    <mergeCell ref="A26:N26"/>
    <mergeCell ref="A21:N21"/>
    <mergeCell ref="B27:J27"/>
    <mergeCell ref="B20:N20"/>
    <mergeCell ref="A32:N32"/>
    <mergeCell ref="A14:N14"/>
    <mergeCell ref="B30:J30"/>
  </mergeCells>
  <printOptions horizontalCentered="1"/>
  <pageMargins left="0.75" right="0.75" top="0.7" bottom="0.75" header="0.5" footer="0.5"/>
  <pageSetup orientation="landscape" paperSize="9" fitToHeight="0" fitToWidth="1"/>
  <headerFooter>
    <oddHeader>&amp;L&amp;8 BuildEase  |  ES26-080 Land to Rear of 1-8 Wesley Terrace, Castleside  |  Wannop Developments Ltd&amp;R&amp;8 Bill of Quantities Package - Finishes &amp;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16.xml><?xml version="1.0" encoding="utf-8"?>
<worksheet xmlns="http://schemas.openxmlformats.org/spreadsheetml/2006/main">
  <sheetPr>
    <outlinePr summaryBelow="1" summaryRight="1"/>
    <pageSetUpPr fitToPage="1"/>
  </sheetPr>
  <dimension ref="A1:N45"/>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4 - Joinery - Skirtings, Architraves, Window Boards &amp; Loft Hatches</t>
        </is>
      </c>
    </row>
    <row r="2" ht="26" customHeight="1">
      <c r="C2" s="103" t="inlineStr">
        <is>
          <t>Second-fix joinery measured per room and per opening.  [NRM2 22 / package JOI]</t>
        </is>
      </c>
    </row>
    <row r="3" ht="4" customHeight="1">
      <c r="A3" s="72" t="n"/>
      <c r="B3" s="72" t="n"/>
      <c r="C3" s="72" t="n"/>
      <c r="D3" s="72" t="n"/>
      <c r="E3" s="72" t="n"/>
      <c r="F3" s="72" t="n"/>
      <c r="G3" s="72" t="n"/>
      <c r="H3" s="72" t="n"/>
      <c r="I3" s="72" t="n"/>
      <c r="J3" s="72" t="n"/>
      <c r="K3" s="72" t="n"/>
      <c r="L3" s="72" t="n"/>
      <c r="M3" s="72" t="n"/>
      <c r="N3" s="72" t="n"/>
    </row>
    <row r="4" ht="48"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6" ht="30" customHeight="1">
      <c r="A6" s="78" t="inlineStr">
        <is>
          <t>Ref</t>
        </is>
      </c>
      <c r="B6" s="78" t="inlineStr">
        <is>
          <t>Description</t>
        </is>
      </c>
      <c r="C6" s="78" t="inlineStr">
        <is>
          <t>Unit</t>
        </is>
      </c>
      <c r="D6" s="78" t="inlineStr">
        <is>
          <t>T01_SEMI
per block</t>
        </is>
      </c>
      <c r="E6" s="78" t="inlineStr">
        <is>
          <t>T01_TER3 brick
per block</t>
        </is>
      </c>
      <c r="F6" s="78" t="inlineStr">
        <is>
          <t>T01_TER3 stone
per block</t>
        </is>
      </c>
      <c r="G6" s="78" t="inlineStr">
        <is>
          <t>T02_BUNG
per block</t>
        </is>
      </c>
      <c r="H6" s="78" t="inlineStr">
        <is>
          <t>Site total
qty</t>
        </is>
      </c>
      <c r="I6" s="78" t="inlineStr">
        <is>
          <t>Supply rate
£</t>
        </is>
      </c>
      <c r="J6" s="78" t="inlineStr">
        <is>
          <t>Install rate
£</t>
        </is>
      </c>
      <c r="K6" s="78" t="inlineStr">
        <is>
          <t>Supply
£</t>
        </is>
      </c>
      <c r="L6" s="78" t="inlineStr">
        <is>
          <t>Install
£</t>
        </is>
      </c>
      <c r="M6" s="78" t="inlineStr">
        <is>
          <t>Line total
£</t>
        </is>
      </c>
      <c r="N6" s="78" t="inlineStr">
        <is>
          <t>Notes</t>
        </is>
      </c>
    </row>
    <row r="7" ht="34" customHeight="1">
      <c r="B7" s="104" t="inlineStr">
        <is>
          <t>Number of blocks of each type (Site total = per-block qty x blocks)</t>
        </is>
      </c>
      <c r="D7" s="105" t="n">
        <v>2</v>
      </c>
      <c r="E7" s="105" t="n">
        <v>3</v>
      </c>
      <c r="F7" s="105" t="n">
        <v>1</v>
      </c>
      <c r="G7" s="105" t="n">
        <v>2</v>
      </c>
      <c r="H7" s="106">
        <f>SUM(D7:G7)</f>
        <v/>
      </c>
      <c r="N7" s="107" t="inlineStr">
        <is>
          <t>Blocks: T01_SEMI = B01, B04 (plots 01-02, 09-10); T01_TER3 brick = B02, B03, B05 (plots 03-08, 11-13); T01_TER3 stone = B08 (plots 16-18); T02_BUNG = B06, B07 (plots 14, 15)</t>
        </is>
      </c>
    </row>
    <row r="8">
      <c r="A8" s="100" t="inlineStr">
        <is>
          <t>4A  Skirtings (NRM2 22 / package JOI)</t>
        </is>
      </c>
    </row>
    <row r="9" ht="13" customHeight="1">
      <c r="B9" s="108" t="inlineStr">
        <is>
          <t>Room floor perimeter on walls less every door opening into the room; stair-well edges (balustrade) and the wall beside the GF flight excluded. 18 x 94 MDF / softwood (profile by the client).</t>
        </is>
      </c>
    </row>
    <row r="10" ht="26" customHeight="1">
      <c r="A10" s="79" t="inlineStr">
        <is>
          <t>4A.1</t>
        </is>
      </c>
      <c r="B10" s="79" t="inlineStr">
        <is>
          <t>Skirting: HT01 GF, Living / kitchen / dining (open plan, incl. hall and stair)</t>
        </is>
      </c>
      <c r="C10" s="79" t="inlineStr">
        <is>
          <t>m</t>
        </is>
      </c>
      <c r="D10" s="109" t="n">
        <v>44.564</v>
      </c>
      <c r="E10" s="109" t="n">
        <v>66.90300000000001</v>
      </c>
      <c r="F10" s="109" t="n">
        <v>66.90300000000001</v>
      </c>
      <c r="G10" s="109" t="n"/>
      <c r="H10" s="94">
        <f>SUMPRODUCT($D$7:$G$7,D10:G10)</f>
        <v/>
      </c>
      <c r="I10" s="110" t="n"/>
      <c r="J10" s="110" t="n"/>
      <c r="K10" s="80">
        <f>N(H10)*N(I10)</f>
        <v/>
      </c>
      <c r="L10" s="80">
        <f>N(H10)*N(J10)</f>
        <v/>
      </c>
      <c r="M10" s="91">
        <f>K10+L10</f>
        <v/>
      </c>
      <c r="N10" s="111" t="inlineStr"/>
    </row>
    <row r="11" ht="15" customHeight="1">
      <c r="A11" s="79" t="inlineStr">
        <is>
          <t>4A.2</t>
        </is>
      </c>
      <c r="B11" s="79" t="inlineStr">
        <is>
          <t>Skirting: HT01 GF, Under-stair store</t>
        </is>
      </c>
      <c r="C11" s="79" t="inlineStr">
        <is>
          <t>m</t>
        </is>
      </c>
      <c r="D11" s="109" t="n">
        <v>8.41</v>
      </c>
      <c r="E11" s="109" t="n">
        <v>12.627</v>
      </c>
      <c r="F11" s="109" t="n">
        <v>12.627</v>
      </c>
      <c r="G11" s="109" t="n"/>
      <c r="H11" s="94">
        <f>SUMPRODUCT($D$7:$G$7,D11:G11)</f>
        <v/>
      </c>
      <c r="I11" s="110" t="n"/>
      <c r="J11" s="110" t="n"/>
      <c r="K11" s="80">
        <f>N(H11)*N(I11)</f>
        <v/>
      </c>
      <c r="L11" s="80">
        <f>N(H11)*N(J11)</f>
        <v/>
      </c>
      <c r="M11" s="91">
        <f>K11+L11</f>
        <v/>
      </c>
      <c r="N11" s="111" t="inlineStr"/>
    </row>
    <row r="12" ht="15" customHeight="1">
      <c r="A12" s="79" t="inlineStr">
        <is>
          <t>4A.3</t>
        </is>
      </c>
      <c r="B12" s="79" t="inlineStr">
        <is>
          <t>Skirting: HT01 GF, WC</t>
        </is>
      </c>
      <c r="C12" s="79" t="inlineStr">
        <is>
          <t>m</t>
        </is>
      </c>
      <c r="D12" s="109" t="n">
        <v>10.359</v>
      </c>
      <c r="E12" s="109" t="n">
        <v>15.564</v>
      </c>
      <c r="F12" s="109" t="n">
        <v>15.564</v>
      </c>
      <c r="G12" s="109" t="n"/>
      <c r="H12" s="94">
        <f>SUMPRODUCT($D$7:$G$7,D12:G12)</f>
        <v/>
      </c>
      <c r="I12" s="110" t="n"/>
      <c r="J12" s="110" t="n"/>
      <c r="K12" s="80">
        <f>N(H12)*N(I12)</f>
        <v/>
      </c>
      <c r="L12" s="80">
        <f>N(H12)*N(J12)</f>
        <v/>
      </c>
      <c r="M12" s="91">
        <f>K12+L12</f>
        <v/>
      </c>
      <c r="N12" s="111" t="inlineStr"/>
    </row>
    <row r="13" ht="15" customHeight="1">
      <c r="A13" s="79" t="inlineStr">
        <is>
          <t>4A.4</t>
        </is>
      </c>
      <c r="B13" s="79" t="inlineStr">
        <is>
          <t>Skirting: HT01 FF, Bedroom 1</t>
        </is>
      </c>
      <c r="C13" s="79" t="inlineStr">
        <is>
          <t>m</t>
        </is>
      </c>
      <c r="D13" s="109" t="n">
        <v>28.958</v>
      </c>
      <c r="E13" s="109" t="n">
        <v>43.437</v>
      </c>
      <c r="F13" s="109" t="n">
        <v>43.437</v>
      </c>
      <c r="G13" s="109" t="n"/>
      <c r="H13" s="94">
        <f>SUMPRODUCT($D$7:$G$7,D13:G13)</f>
        <v/>
      </c>
      <c r="I13" s="110" t="n"/>
      <c r="J13" s="110" t="n"/>
      <c r="K13" s="80">
        <f>N(H13)*N(I13)</f>
        <v/>
      </c>
      <c r="L13" s="80">
        <f>N(H13)*N(J13)</f>
        <v/>
      </c>
      <c r="M13" s="91">
        <f>K13+L13</f>
        <v/>
      </c>
      <c r="N13" s="111" t="inlineStr"/>
    </row>
    <row r="14" ht="15" customHeight="1">
      <c r="A14" s="79" t="inlineStr">
        <is>
          <t>4A.5</t>
        </is>
      </c>
      <c r="B14" s="79" t="inlineStr">
        <is>
          <t>Skirting: HT01 FF, Bedroom 2</t>
        </is>
      </c>
      <c r="C14" s="79" t="inlineStr">
        <is>
          <t>m</t>
        </is>
      </c>
      <c r="D14" s="109" t="n">
        <v>29.344</v>
      </c>
      <c r="E14" s="109" t="n">
        <v>44.016</v>
      </c>
      <c r="F14" s="109" t="n">
        <v>44.016</v>
      </c>
      <c r="G14" s="109" t="n"/>
      <c r="H14" s="94">
        <f>SUMPRODUCT($D$7:$G$7,D14:G14)</f>
        <v/>
      </c>
      <c r="I14" s="110" t="n"/>
      <c r="J14" s="110" t="n"/>
      <c r="K14" s="80">
        <f>N(H14)*N(I14)</f>
        <v/>
      </c>
      <c r="L14" s="80">
        <f>N(H14)*N(J14)</f>
        <v/>
      </c>
      <c r="M14" s="91">
        <f>K14+L14</f>
        <v/>
      </c>
      <c r="N14" s="111" t="inlineStr"/>
    </row>
    <row r="15" ht="15" customHeight="1">
      <c r="A15" s="79" t="inlineStr">
        <is>
          <t>4A.6</t>
        </is>
      </c>
      <c r="B15" s="79" t="inlineStr">
        <is>
          <t>Skirting: HT01 FF, Bedroom 3</t>
        </is>
      </c>
      <c r="C15" s="79" t="inlineStr">
        <is>
          <t>m</t>
        </is>
      </c>
      <c r="D15" s="109" t="n">
        <v>21.999</v>
      </c>
      <c r="E15" s="109" t="n">
        <v>33.024</v>
      </c>
      <c r="F15" s="109" t="n">
        <v>33.024</v>
      </c>
      <c r="G15" s="109" t="n"/>
      <c r="H15" s="94">
        <f>SUMPRODUCT($D$7:$G$7,D15:G15)</f>
        <v/>
      </c>
      <c r="I15" s="110" t="n"/>
      <c r="J15" s="110" t="n"/>
      <c r="K15" s="80">
        <f>N(H15)*N(I15)</f>
        <v/>
      </c>
      <c r="L15" s="80">
        <f>N(H15)*N(J15)</f>
        <v/>
      </c>
      <c r="M15" s="91">
        <f>K15+L15</f>
        <v/>
      </c>
      <c r="N15" s="111" t="inlineStr"/>
    </row>
    <row r="16" ht="15" customHeight="1">
      <c r="A16" s="79" t="inlineStr">
        <is>
          <t>4A.7</t>
        </is>
      </c>
      <c r="B16" s="79" t="inlineStr">
        <is>
          <t>Skirting: HT01 FF, Landing (incl. stair well)</t>
        </is>
      </c>
      <c r="C16" s="79" t="inlineStr">
        <is>
          <t>m</t>
        </is>
      </c>
      <c r="D16" s="109" t="n">
        <v>5.887</v>
      </c>
      <c r="E16" s="109" t="n">
        <v>8.855</v>
      </c>
      <c r="F16" s="109" t="n">
        <v>8.855</v>
      </c>
      <c r="G16" s="109" t="n"/>
      <c r="H16" s="94">
        <f>SUMPRODUCT($D$7:$G$7,D16:G16)</f>
        <v/>
      </c>
      <c r="I16" s="110" t="n"/>
      <c r="J16" s="110" t="n"/>
      <c r="K16" s="80">
        <f>N(H16)*N(I16)</f>
        <v/>
      </c>
      <c r="L16" s="80">
        <f>N(H16)*N(J16)</f>
        <v/>
      </c>
      <c r="M16" s="91">
        <f>K16+L16</f>
        <v/>
      </c>
      <c r="N16" s="111" t="inlineStr"/>
    </row>
    <row r="17" ht="15" customHeight="1">
      <c r="A17" s="79" t="inlineStr">
        <is>
          <t>4A.8</t>
        </is>
      </c>
      <c r="B17" s="79" t="inlineStr">
        <is>
          <t>Skirting: HT01 FF, Cupboard / store</t>
        </is>
      </c>
      <c r="C17" s="79" t="inlineStr">
        <is>
          <t>m</t>
        </is>
      </c>
      <c r="D17" s="109" t="n">
        <v>8.972</v>
      </c>
      <c r="E17" s="109" t="n">
        <v>13.484</v>
      </c>
      <c r="F17" s="109" t="n">
        <v>13.484</v>
      </c>
      <c r="G17" s="109" t="n"/>
      <c r="H17" s="94">
        <f>SUMPRODUCT($D$7:$G$7,D17:G17)</f>
        <v/>
      </c>
      <c r="I17" s="110" t="n"/>
      <c r="J17" s="110" t="n"/>
      <c r="K17" s="80">
        <f>N(H17)*N(I17)</f>
        <v/>
      </c>
      <c r="L17" s="80">
        <f>N(H17)*N(J17)</f>
        <v/>
      </c>
      <c r="M17" s="91">
        <f>K17+L17</f>
        <v/>
      </c>
      <c r="N17" s="111" t="inlineStr"/>
    </row>
    <row r="18" ht="15" customHeight="1">
      <c r="A18" s="79" t="inlineStr">
        <is>
          <t>4A.9</t>
        </is>
      </c>
      <c r="B18" s="79" t="inlineStr">
        <is>
          <t>Skirting: HT01 FF, Bathroom</t>
        </is>
      </c>
      <c r="C18" s="79" t="inlineStr">
        <is>
          <t>m</t>
        </is>
      </c>
      <c r="D18" s="109" t="n">
        <v>14.009</v>
      </c>
      <c r="E18" s="109" t="n">
        <v>21.039</v>
      </c>
      <c r="F18" s="109" t="n">
        <v>21.039</v>
      </c>
      <c r="G18" s="109" t="n"/>
      <c r="H18" s="94">
        <f>SUMPRODUCT($D$7:$G$7,D18:G18)</f>
        <v/>
      </c>
      <c r="I18" s="110" t="n"/>
      <c r="J18" s="110" t="n"/>
      <c r="K18" s="80">
        <f>N(H18)*N(I18)</f>
        <v/>
      </c>
      <c r="L18" s="80">
        <f>N(H18)*N(J18)</f>
        <v/>
      </c>
      <c r="M18" s="91">
        <f>K18+L18</f>
        <v/>
      </c>
      <c r="N18" s="111" t="inlineStr"/>
    </row>
    <row r="19" ht="15" customHeight="1">
      <c r="A19" s="79" t="inlineStr">
        <is>
          <t>4A.10</t>
        </is>
      </c>
      <c r="B19" s="79" t="inlineStr">
        <is>
          <t>Skirting: HT02 GF, Bedroom 2</t>
        </is>
      </c>
      <c r="C19" s="79" t="inlineStr">
        <is>
          <t>m</t>
        </is>
      </c>
      <c r="D19" s="109" t="n"/>
      <c r="E19" s="109" t="n"/>
      <c r="F19" s="109" t="n"/>
      <c r="G19" s="109" t="n">
        <v>12.103</v>
      </c>
      <c r="H19" s="94">
        <f>SUMPRODUCT($D$7:$G$7,D19:G19)</f>
        <v/>
      </c>
      <c r="I19" s="110" t="n"/>
      <c r="J19" s="110" t="n"/>
      <c r="K19" s="80">
        <f>N(H19)*N(I19)</f>
        <v/>
      </c>
      <c r="L19" s="80">
        <f>N(H19)*N(J19)</f>
        <v/>
      </c>
      <c r="M19" s="91">
        <f>K19+L19</f>
        <v/>
      </c>
      <c r="N19" s="111" t="inlineStr"/>
    </row>
    <row r="20" ht="15" customHeight="1">
      <c r="A20" s="79" t="inlineStr">
        <is>
          <t>4A.11</t>
        </is>
      </c>
      <c r="B20" s="79" t="inlineStr">
        <is>
          <t>Skirting: HT02 GF, Storage</t>
        </is>
      </c>
      <c r="C20" s="79" t="inlineStr">
        <is>
          <t>m</t>
        </is>
      </c>
      <c r="D20" s="109" t="n"/>
      <c r="E20" s="109" t="n"/>
      <c r="F20" s="109" t="n"/>
      <c r="G20" s="109" t="n">
        <v>4.093</v>
      </c>
      <c r="H20" s="94">
        <f>SUMPRODUCT($D$7:$G$7,D20:G20)</f>
        <v/>
      </c>
      <c r="I20" s="110" t="n"/>
      <c r="J20" s="110" t="n"/>
      <c r="K20" s="80">
        <f>N(H20)*N(I20)</f>
        <v/>
      </c>
      <c r="L20" s="80">
        <f>N(H20)*N(J20)</f>
        <v/>
      </c>
      <c r="M20" s="91">
        <f>K20+L20</f>
        <v/>
      </c>
      <c r="N20" s="111" t="inlineStr"/>
    </row>
    <row r="21" ht="26" customHeight="1">
      <c r="A21" s="79" t="inlineStr">
        <is>
          <t>4A.12</t>
        </is>
      </c>
      <c r="B21" s="79" t="inlineStr">
        <is>
          <t>Skirting: HT02 GF, Kitchen / dining / living (open plan, incl. entrance hall)</t>
        </is>
      </c>
      <c r="C21" s="79" t="inlineStr">
        <is>
          <t>m</t>
        </is>
      </c>
      <c r="D21" s="109" t="n"/>
      <c r="E21" s="109" t="n"/>
      <c r="F21" s="109" t="n"/>
      <c r="G21" s="109" t="n">
        <v>25.937</v>
      </c>
      <c r="H21" s="94">
        <f>SUMPRODUCT($D$7:$G$7,D21:G21)</f>
        <v/>
      </c>
      <c r="I21" s="110" t="n"/>
      <c r="J21" s="110" t="n"/>
      <c r="K21" s="80">
        <f>N(H21)*N(I21)</f>
        <v/>
      </c>
      <c r="L21" s="80">
        <f>N(H21)*N(J21)</f>
        <v/>
      </c>
      <c r="M21" s="91">
        <f>K21+L21</f>
        <v/>
      </c>
      <c r="N21" s="111" t="inlineStr"/>
    </row>
    <row r="22" ht="15" customHeight="1">
      <c r="A22" s="79" t="inlineStr">
        <is>
          <t>4A.13</t>
        </is>
      </c>
      <c r="B22" s="79" t="inlineStr">
        <is>
          <t>Skirting: HT02 GF, Bedroom 1</t>
        </is>
      </c>
      <c r="C22" s="79" t="inlineStr">
        <is>
          <t>m</t>
        </is>
      </c>
      <c r="D22" s="109" t="n"/>
      <c r="E22" s="109" t="n"/>
      <c r="F22" s="109" t="n"/>
      <c r="G22" s="109" t="n">
        <v>12.053</v>
      </c>
      <c r="H22" s="94">
        <f>SUMPRODUCT($D$7:$G$7,D22:G22)</f>
        <v/>
      </c>
      <c r="I22" s="110" t="n"/>
      <c r="J22" s="110" t="n"/>
      <c r="K22" s="80">
        <f>N(H22)*N(I22)</f>
        <v/>
      </c>
      <c r="L22" s="80">
        <f>N(H22)*N(J22)</f>
        <v/>
      </c>
      <c r="M22" s="91">
        <f>K22+L22</f>
        <v/>
      </c>
      <c r="N22" s="111" t="inlineStr"/>
    </row>
    <row r="23" ht="15" customHeight="1">
      <c r="A23" s="79" t="inlineStr">
        <is>
          <t>4A.14</t>
        </is>
      </c>
      <c r="B23" s="79" t="inlineStr">
        <is>
          <t>Skirting: HT02 GF, Bathroom</t>
        </is>
      </c>
      <c r="C23" s="79" t="inlineStr">
        <is>
          <t>m</t>
        </is>
      </c>
      <c r="D23" s="109" t="n"/>
      <c r="E23" s="109" t="n"/>
      <c r="F23" s="109" t="n"/>
      <c r="G23" s="109" t="n">
        <v>9.512</v>
      </c>
      <c r="H23" s="94">
        <f>SUMPRODUCT($D$7:$G$7,D23:G23)</f>
        <v/>
      </c>
      <c r="I23" s="110" t="n"/>
      <c r="J23" s="110" t="n"/>
      <c r="K23" s="80">
        <f>N(H23)*N(I23)</f>
        <v/>
      </c>
      <c r="L23" s="80">
        <f>N(H23)*N(J23)</f>
        <v/>
      </c>
      <c r="M23" s="91">
        <f>K23+L23</f>
        <v/>
      </c>
      <c r="N23" s="111" t="inlineStr"/>
    </row>
    <row r="24" ht="15" customHeight="1">
      <c r="A24" s="119" t="inlineStr">
        <is>
          <t>4A.T</t>
        </is>
      </c>
      <c r="B24" s="119" t="inlineStr">
        <is>
          <t>Skirtings - total</t>
        </is>
      </c>
      <c r="C24" s="119" t="inlineStr">
        <is>
          <t>m</t>
        </is>
      </c>
      <c r="D24" s="120">
        <f>IF(SUM(D10:D23)=0,"",SUM(D10:D23))</f>
        <v/>
      </c>
      <c r="E24" s="120">
        <f>IF(SUM(E10:E23)=0,"",SUM(E10:E23))</f>
        <v/>
      </c>
      <c r="F24" s="120">
        <f>IF(SUM(F10:F23)=0,"",SUM(F10:F23))</f>
        <v/>
      </c>
      <c r="G24" s="120">
        <f>IF(SUM(G10:G23)=0,"",SUM(G10:G23))</f>
        <v/>
      </c>
      <c r="H24" s="120">
        <f>SUMPRODUCT($D$7:$G$7,D24:G24)</f>
        <v/>
      </c>
      <c r="I24" s="121" t="n"/>
      <c r="J24" s="121" t="n"/>
      <c r="K24" s="121" t="n"/>
      <c r="L24" s="121" t="n"/>
      <c r="M24" s="117" t="inlineStr">
        <is>
          <t>not priced</t>
        </is>
      </c>
      <c r="N24" s="122" t="inlineStr">
        <is>
          <t>Order guide +10% = 1,659.0</t>
        </is>
      </c>
    </row>
    <row r="25">
      <c r="A25" s="100" t="inlineStr">
        <is>
          <t>4B  Architraves (NRM2 22 / package JOI)</t>
        </is>
      </c>
    </row>
    <row r="26" ht="13" customHeight="1">
      <c r="B26" s="108" t="inlineStr">
        <is>
          <t>Per face = 2 legs x 2150 + (door gap + 2 x 70). Internal doors both faces; external doors inside face only (bifold heads / jambs may be plastered - confirm).</t>
        </is>
      </c>
    </row>
    <row r="27" ht="26" customHeight="1">
      <c r="A27" s="79" t="inlineStr">
        <is>
          <t>4B.1</t>
        </is>
      </c>
      <c r="B27" s="79" t="inlineStr">
        <is>
          <t>Architrave to internal doors, both faces, 18 x 69 (profile by the client)</t>
        </is>
      </c>
      <c r="C27" s="79" t="inlineStr">
        <is>
          <t>m</t>
        </is>
      </c>
      <c r="D27" s="109" t="n">
        <v>168.48</v>
      </c>
      <c r="E27" s="109" t="n">
        <v>252.72</v>
      </c>
      <c r="F27" s="109" t="n">
        <v>252.72</v>
      </c>
      <c r="G27" s="109" t="n">
        <v>63.48</v>
      </c>
      <c r="H27" s="94">
        <f>SUMPRODUCT($D$7:$G$7,D27:G27)</f>
        <v/>
      </c>
      <c r="I27" s="110" t="n"/>
      <c r="J27" s="110" t="n"/>
      <c r="K27" s="80">
        <f>N(H27)*N(I27)</f>
        <v/>
      </c>
      <c r="L27" s="80">
        <f>N(H27)*N(J27)</f>
        <v/>
      </c>
      <c r="M27" s="91">
        <f>K27+L27</f>
        <v/>
      </c>
      <c r="N27" s="111" t="inlineStr">
        <is>
          <t>Order guide +10% = 1,622.3</t>
        </is>
      </c>
    </row>
    <row r="28" ht="26" customHeight="1">
      <c r="A28" s="79" t="inlineStr">
        <is>
          <t>4B.2</t>
        </is>
      </c>
      <c r="B28" s="79" t="inlineStr">
        <is>
          <t>Architrave to external doors (front door and bifolds), inside face</t>
        </is>
      </c>
      <c r="C28" s="79" t="inlineStr">
        <is>
          <t>m</t>
        </is>
      </c>
      <c r="D28" s="109" t="n">
        <v>25.2</v>
      </c>
      <c r="E28" s="109" t="n">
        <v>37.8</v>
      </c>
      <c r="F28" s="109" t="n">
        <v>37.8</v>
      </c>
      <c r="G28" s="109" t="n">
        <v>19.65</v>
      </c>
      <c r="H28" s="94">
        <f>SUMPRODUCT($D$7:$G$7,D28:G28)</f>
        <v/>
      </c>
      <c r="I28" s="110" t="n"/>
      <c r="J28" s="110" t="n"/>
      <c r="K28" s="80">
        <f>N(H28)*N(I28)</f>
        <v/>
      </c>
      <c r="L28" s="80">
        <f>N(H28)*N(J28)</f>
        <v/>
      </c>
      <c r="M28" s="91">
        <f>K28+L28</f>
        <v/>
      </c>
      <c r="N28" s="111" t="inlineStr">
        <is>
          <t>Order guide +10% = 265.0</t>
        </is>
      </c>
    </row>
    <row r="29">
      <c r="A29" s="100" t="inlineStr">
        <is>
          <t>4C  Window boards (NRM2 22 / package JOI)</t>
        </is>
      </c>
    </row>
    <row r="30" ht="13" customHeight="1">
      <c r="B30" s="108" t="inlineStr">
        <is>
          <t>Length = structural opening width + 2 x 50 horns; depth = internal reveal 195 + 25 nosing = 220 mm (order 225 mm MDF / uPVC).</t>
        </is>
      </c>
    </row>
    <row r="31" ht="26" customHeight="1">
      <c r="A31" s="79" t="inlineStr">
        <is>
          <t>4C.1</t>
        </is>
      </c>
      <c r="B31" s="79" t="inlineStr">
        <is>
          <t>Window board 225 x 1,810 mm long, with horns, nosing to the front edge</t>
        </is>
      </c>
      <c r="C31" s="79" t="inlineStr">
        <is>
          <t>nr</t>
        </is>
      </c>
      <c r="D31" s="109" t="n">
        <v>4</v>
      </c>
      <c r="E31" s="109" t="n">
        <v>6</v>
      </c>
      <c r="F31" s="109" t="n">
        <v>6</v>
      </c>
      <c r="G31" s="109" t="n">
        <v>3</v>
      </c>
      <c r="H31" s="94">
        <f>SUMPRODUCT($D$7:$G$7,D31:G31)</f>
        <v/>
      </c>
      <c r="I31" s="110" t="n"/>
      <c r="J31" s="110" t="n"/>
      <c r="K31" s="80">
        <f>N(H31)*N(I31)</f>
        <v/>
      </c>
      <c r="L31" s="80">
        <f>N(H31)*N(J31)</f>
        <v/>
      </c>
      <c r="M31" s="91">
        <f>K31+L31</f>
        <v/>
      </c>
      <c r="N31" s="111" t="inlineStr"/>
    </row>
    <row r="32" ht="26" customHeight="1">
      <c r="A32" s="79" t="inlineStr">
        <is>
          <t>4C.2</t>
        </is>
      </c>
      <c r="B32" s="79" t="inlineStr">
        <is>
          <t>Window board 225 x 1,210 mm long, with horns, nosing to the front edge</t>
        </is>
      </c>
      <c r="C32" s="79" t="inlineStr">
        <is>
          <t>nr</t>
        </is>
      </c>
      <c r="D32" s="109" t="n">
        <v>6</v>
      </c>
      <c r="E32" s="109" t="n">
        <v>9</v>
      </c>
      <c r="F32" s="109" t="n">
        <v>9</v>
      </c>
      <c r="G32" s="109" t="n">
        <v>1</v>
      </c>
      <c r="H32" s="94">
        <f>SUMPRODUCT($D$7:$G$7,D32:G32)</f>
        <v/>
      </c>
      <c r="I32" s="110" t="n"/>
      <c r="J32" s="110" t="n"/>
      <c r="K32" s="80">
        <f>N(H32)*N(I32)</f>
        <v/>
      </c>
      <c r="L32" s="80">
        <f>N(H32)*N(J32)</f>
        <v/>
      </c>
      <c r="M32" s="91">
        <f>K32+L32</f>
        <v/>
      </c>
      <c r="N32" s="111" t="inlineStr"/>
    </row>
    <row r="33" ht="26" customHeight="1">
      <c r="A33" s="79" t="inlineStr">
        <is>
          <t>4C.3</t>
        </is>
      </c>
      <c r="B33" s="79" t="inlineStr">
        <is>
          <t>Window board 225 x 610 mm long, with horns, nosing to the front edge</t>
        </is>
      </c>
      <c r="C33" s="79" t="inlineStr">
        <is>
          <t>nr</t>
        </is>
      </c>
      <c r="D33" s="109" t="n">
        <v>2</v>
      </c>
      <c r="E33" s="109" t="n">
        <v>3</v>
      </c>
      <c r="F33" s="109" t="n">
        <v>3</v>
      </c>
      <c r="G33" s="109" t="n"/>
      <c r="H33" s="94">
        <f>SUMPRODUCT($D$7:$G$7,D33:G33)</f>
        <v/>
      </c>
      <c r="I33" s="110" t="n"/>
      <c r="J33" s="110" t="n"/>
      <c r="K33" s="80">
        <f>N(H33)*N(I33)</f>
        <v/>
      </c>
      <c r="L33" s="80">
        <f>N(H33)*N(J33)</f>
        <v/>
      </c>
      <c r="M33" s="91">
        <f>K33+L33</f>
        <v/>
      </c>
      <c r="N33" s="111" t="inlineStr"/>
    </row>
    <row r="34" ht="15" customHeight="1">
      <c r="A34" s="119" t="inlineStr">
        <is>
          <t>4C.T</t>
        </is>
      </c>
      <c r="B34" s="119" t="inlineStr">
        <is>
          <t>Window boards - total length</t>
        </is>
      </c>
      <c r="C34" s="119" t="inlineStr">
        <is>
          <t>m</t>
        </is>
      </c>
      <c r="D34" s="120" t="n">
        <v>15.72</v>
      </c>
      <c r="E34" s="120" t="n">
        <v>23.58</v>
      </c>
      <c r="F34" s="120" t="n">
        <v>23.58</v>
      </c>
      <c r="G34" s="120" t="n">
        <v>6.64</v>
      </c>
      <c r="H34" s="120">
        <f>SUMPRODUCT($D$7:$G$7,D34:G34)</f>
        <v/>
      </c>
      <c r="I34" s="121" t="n"/>
      <c r="J34" s="121" t="n"/>
      <c r="K34" s="121" t="n"/>
      <c r="L34" s="121" t="n"/>
      <c r="M34" s="117" t="inlineStr">
        <is>
          <t>not priced</t>
        </is>
      </c>
      <c r="N34" s="122" t="inlineStr">
        <is>
          <t>Order guide +10% = 152.9</t>
        </is>
      </c>
    </row>
    <row r="35">
      <c r="A35" s="100" t="inlineStr">
        <is>
          <t>4D  Loft access (NRM2 22 / package JOI)</t>
        </is>
      </c>
    </row>
    <row r="36" ht="39" customHeight="1">
      <c r="A36" s="79" t="inlineStr">
        <is>
          <t>4D.1</t>
        </is>
      </c>
      <c r="B36" s="79" t="inlineStr">
        <is>
          <t>Loft access hatch, insulated and draught-sealed, 600 x 600 clear between trusses (trimming by the truss designer), with ladder if required</t>
        </is>
      </c>
      <c r="C36" s="79" t="inlineStr">
        <is>
          <t>nr</t>
        </is>
      </c>
      <c r="D36" s="109" t="n">
        <v>2</v>
      </c>
      <c r="E36" s="109" t="n">
        <v>3</v>
      </c>
      <c r="F36" s="109" t="n">
        <v>3</v>
      </c>
      <c r="G36" s="109" t="n">
        <v>1</v>
      </c>
      <c r="H36" s="94">
        <f>SUMPRODUCT($D$7:$G$7,D36:G36)</f>
        <v/>
      </c>
      <c r="I36" s="110" t="n"/>
      <c r="J36" s="110" t="n"/>
      <c r="K36" s="80">
        <f>N(H36)*N(I36)</f>
        <v/>
      </c>
      <c r="L36" s="80">
        <f>N(H36)*N(J36)</f>
        <v/>
      </c>
      <c r="M36" s="91">
        <f>K36+L36</f>
        <v/>
      </c>
      <c r="N36" s="111" t="inlineStr">
        <is>
          <t>One per dwelling; position to suit the truss layout - confirm</t>
        </is>
      </c>
    </row>
    <row r="38" ht="20" customHeight="1">
      <c r="A38" s="90" t="inlineStr">
        <is>
          <t>PACKAGE SUMMARY  -  Bill 4  Joinery - Skirtings, Architraves, Window Boards &amp; Loft Hatches  (package JOI; amounts by others, excl. VAT)</t>
        </is>
      </c>
    </row>
    <row r="39" ht="30" customHeight="1">
      <c r="A39" s="78" t="inlineStr">
        <is>
          <t>Section</t>
        </is>
      </c>
      <c r="B39" s="78" t="inlineStr">
        <is>
          <t>Description</t>
        </is>
      </c>
      <c r="C39" s="96" t="n"/>
      <c r="D39" s="96" t="n"/>
      <c r="E39" s="96" t="n"/>
      <c r="F39" s="96" t="n"/>
      <c r="G39" s="96" t="n"/>
      <c r="H39" s="96" t="n"/>
      <c r="I39" s="96" t="n"/>
      <c r="J39" s="97" t="n"/>
      <c r="K39" s="78" t="inlineStr">
        <is>
          <t>Supply
£</t>
        </is>
      </c>
      <c r="L39" s="78" t="inlineStr">
        <is>
          <t>Install
£</t>
        </is>
      </c>
      <c r="M39" s="78" t="inlineStr">
        <is>
          <t>Total
£</t>
        </is>
      </c>
      <c r="N39" s="78" t="inlineStr"/>
    </row>
    <row r="40" ht="16" customHeight="1">
      <c r="A40" s="112" t="inlineStr">
        <is>
          <t>4A</t>
        </is>
      </c>
      <c r="B40" s="79" t="inlineStr">
        <is>
          <t>Skirtings (NRM2 22 / package JOI)</t>
        </is>
      </c>
      <c r="C40" s="85" t="n"/>
      <c r="D40" s="85" t="n"/>
      <c r="E40" s="85" t="n"/>
      <c r="F40" s="85" t="n"/>
      <c r="G40" s="85" t="n"/>
      <c r="H40" s="85" t="n"/>
      <c r="I40" s="85" t="n"/>
      <c r="J40" s="85" t="n"/>
      <c r="K40" s="80">
        <f>SUM(K9:K24)</f>
        <v/>
      </c>
      <c r="L40" s="80">
        <f>SUM(L9:L24)</f>
        <v/>
      </c>
      <c r="M40" s="91">
        <f>SUM(M9:M24)</f>
        <v/>
      </c>
    </row>
    <row r="41" ht="16" customHeight="1">
      <c r="A41" s="112" t="inlineStr">
        <is>
          <t>4B</t>
        </is>
      </c>
      <c r="B41" s="79" t="inlineStr">
        <is>
          <t>Architraves (NRM2 22 / package JOI)</t>
        </is>
      </c>
      <c r="C41" s="85" t="n"/>
      <c r="D41" s="85" t="n"/>
      <c r="E41" s="85" t="n"/>
      <c r="F41" s="85" t="n"/>
      <c r="G41" s="85" t="n"/>
      <c r="H41" s="85" t="n"/>
      <c r="I41" s="85" t="n"/>
      <c r="J41" s="85" t="n"/>
      <c r="K41" s="80">
        <f>SUM(K26:K28)</f>
        <v/>
      </c>
      <c r="L41" s="80">
        <f>SUM(L26:L28)</f>
        <v/>
      </c>
      <c r="M41" s="91">
        <f>SUM(M26:M28)</f>
        <v/>
      </c>
    </row>
    <row r="42" ht="16" customHeight="1">
      <c r="A42" s="112" t="inlineStr">
        <is>
          <t>4C</t>
        </is>
      </c>
      <c r="B42" s="79" t="inlineStr">
        <is>
          <t>Window boards (NRM2 22 / package JOI)</t>
        </is>
      </c>
      <c r="C42" s="85" t="n"/>
      <c r="D42" s="85" t="n"/>
      <c r="E42" s="85" t="n"/>
      <c r="F42" s="85" t="n"/>
      <c r="G42" s="85" t="n"/>
      <c r="H42" s="85" t="n"/>
      <c r="I42" s="85" t="n"/>
      <c r="J42" s="85" t="n"/>
      <c r="K42" s="80">
        <f>SUM(K30:K34)</f>
        <v/>
      </c>
      <c r="L42" s="80">
        <f>SUM(L30:L34)</f>
        <v/>
      </c>
      <c r="M42" s="91">
        <f>SUM(M30:M34)</f>
        <v/>
      </c>
    </row>
    <row r="43" ht="16" customHeight="1">
      <c r="A43" s="112" t="inlineStr">
        <is>
          <t>4D</t>
        </is>
      </c>
      <c r="B43" s="79" t="inlineStr">
        <is>
          <t>Loft access (NRM2 22 / package JOI)</t>
        </is>
      </c>
      <c r="C43" s="85" t="n"/>
      <c r="D43" s="85" t="n"/>
      <c r="E43" s="85" t="n"/>
      <c r="F43" s="85" t="n"/>
      <c r="G43" s="85" t="n"/>
      <c r="H43" s="85" t="n"/>
      <c r="I43" s="85" t="n"/>
      <c r="J43" s="85" t="n"/>
      <c r="K43" s="80">
        <f>SUM(K36:K36)</f>
        <v/>
      </c>
      <c r="L43" s="80">
        <f>SUM(L36:L36)</f>
        <v/>
      </c>
      <c r="M43" s="91">
        <f>SUM(M36:M36)</f>
        <v/>
      </c>
    </row>
    <row r="44" ht="20" customHeight="1">
      <c r="A44" s="113" t="inlineStr">
        <is>
          <t>PACKAGE TOTAL - Bill 4, carried to the Cover overview</t>
        </is>
      </c>
      <c r="K44" s="82">
        <f>SUM(K40:K43)</f>
        <v/>
      </c>
      <c r="L44" s="82">
        <f>SUM(L40:L43)</f>
        <v/>
      </c>
      <c r="M44" s="82">
        <f>SUM(M40:M43)</f>
        <v/>
      </c>
    </row>
    <row r="45" ht="24" customHeight="1">
      <c r="A45" s="92"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8">
    <mergeCell ref="A44:J44"/>
    <mergeCell ref="A8:N8"/>
    <mergeCell ref="C2:N2"/>
    <mergeCell ref="C1:N1"/>
    <mergeCell ref="B9:N9"/>
    <mergeCell ref="A4:N4"/>
    <mergeCell ref="A35:N35"/>
    <mergeCell ref="B42:J42"/>
    <mergeCell ref="A38:N38"/>
    <mergeCell ref="A45:N45"/>
    <mergeCell ref="B26:N26"/>
    <mergeCell ref="A29:N29"/>
    <mergeCell ref="A25:N25"/>
    <mergeCell ref="B40:J40"/>
    <mergeCell ref="B30:N30"/>
    <mergeCell ref="B41:J41"/>
    <mergeCell ref="B43:J43"/>
    <mergeCell ref="B39:J39"/>
  </mergeCells>
  <printOptions horizontalCentered="1"/>
  <pageMargins left="0.75" right="0.75" top="0.7" bottom="0.75" header="0.5" footer="0.5"/>
  <pageSetup orientation="landscape" paperSize="9" fitToHeight="0" fitToWidth="1"/>
  <headerFooter>
    <oddHeader>&amp;L&amp;8 BuildEase  |  ES26-080 Land to Rear of 1-8 Wesley Terrace, Castleside  |  Wannop Developments Ltd&amp;R&amp;8 Bill of Quantities Package - Finishes &amp;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17.xml><?xml version="1.0" encoding="utf-8"?>
<worksheet xmlns="http://schemas.openxmlformats.org/spreadsheetml/2006/main">
  <sheetPr>
    <outlinePr summaryBelow="1" summaryRight="1"/>
    <pageSetUpPr fitToPage="1"/>
  </sheetPr>
  <dimension ref="A1:N48"/>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5 - Timber Stud Partitions - Framing, Openings, Pattresses &amp; Fixings</t>
        </is>
      </c>
    </row>
    <row r="2" ht="26" customHeight="1">
      <c r="C2" s="103" t="inlineStr">
        <is>
          <t>Non-loadbearing 38 x 89 C16 timber stud partitions from the TLSTF models (232 walls, 496.9 m, 140 door openings site-wide). Linings are in Bill 2, doorsets in Bill 3.  [NRM2 16 / package JOI]</t>
        </is>
      </c>
    </row>
    <row r="3" ht="4" customHeight="1">
      <c r="A3" s="72" t="n"/>
      <c r="B3" s="72" t="n"/>
      <c r="C3" s="72" t="n"/>
      <c r="D3" s="72" t="n"/>
      <c r="E3" s="72" t="n"/>
      <c r="F3" s="72" t="n"/>
      <c r="G3" s="72" t="n"/>
      <c r="H3" s="72" t="n"/>
      <c r="I3" s="72" t="n"/>
      <c r="J3" s="72" t="n"/>
      <c r="K3" s="72" t="n"/>
      <c r="L3" s="72" t="n"/>
      <c r="M3" s="72" t="n"/>
      <c r="N3" s="72" t="n"/>
    </row>
    <row r="4" ht="48"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6" ht="30" customHeight="1">
      <c r="A6" s="78" t="inlineStr">
        <is>
          <t>Ref</t>
        </is>
      </c>
      <c r="B6" s="78" t="inlineStr">
        <is>
          <t>Description</t>
        </is>
      </c>
      <c r="C6" s="78" t="inlineStr">
        <is>
          <t>Unit</t>
        </is>
      </c>
      <c r="D6" s="78" t="inlineStr">
        <is>
          <t>T01_SEMI
per block</t>
        </is>
      </c>
      <c r="E6" s="78" t="inlineStr">
        <is>
          <t>T01_TER3 brick
per block</t>
        </is>
      </c>
      <c r="F6" s="78" t="inlineStr">
        <is>
          <t>T01_TER3 stone
per block</t>
        </is>
      </c>
      <c r="G6" s="78" t="inlineStr">
        <is>
          <t>T02_BUNG
per block</t>
        </is>
      </c>
      <c r="H6" s="78" t="inlineStr">
        <is>
          <t>Site total
qty</t>
        </is>
      </c>
      <c r="I6" s="78" t="inlineStr">
        <is>
          <t>Supply rate
£</t>
        </is>
      </c>
      <c r="J6" s="78" t="inlineStr">
        <is>
          <t>Install rate
£</t>
        </is>
      </c>
      <c r="K6" s="78" t="inlineStr">
        <is>
          <t>Supply
£</t>
        </is>
      </c>
      <c r="L6" s="78" t="inlineStr">
        <is>
          <t>Install
£</t>
        </is>
      </c>
      <c r="M6" s="78" t="inlineStr">
        <is>
          <t>Line total
£</t>
        </is>
      </c>
      <c r="N6" s="78" t="inlineStr">
        <is>
          <t>Notes</t>
        </is>
      </c>
    </row>
    <row r="7" ht="34" customHeight="1">
      <c r="B7" s="104" t="inlineStr">
        <is>
          <t>Number of blocks of each type (Site total = per-block qty x blocks)</t>
        </is>
      </c>
      <c r="D7" s="105" t="n">
        <v>2</v>
      </c>
      <c r="E7" s="105" t="n">
        <v>3</v>
      </c>
      <c r="F7" s="105" t="n">
        <v>1</v>
      </c>
      <c r="G7" s="105" t="n">
        <v>2</v>
      </c>
      <c r="H7" s="106">
        <f>SUM(D7:G7)</f>
        <v/>
      </c>
      <c r="N7" s="107" t="inlineStr">
        <is>
          <t>Blocks: T01_SEMI = B01, B04 (plots 01-02, 09-10); T01_TER3 brick = B02, B03, B05 (plots 03-08, 11-13); T01_TER3 stone = B08 (plots 16-18); T02_BUNG = B06, B07 (plots 14, 15)</t>
        </is>
      </c>
    </row>
    <row r="8">
      <c r="A8" s="100" t="inlineStr">
        <is>
          <t>5A  Timber stud partitions, non-loadbearing - framing (NRM2 16 / package JOI)</t>
        </is>
      </c>
    </row>
    <row r="9" ht="39" customHeight="1">
      <c r="B9" s="108" t="inlineStr">
        <is>
          <t>C16 softwood stud partitions as built in the TLSTF model (232 walls site-wide, all 38 x 89 per the SK11A thin walls): studs, head and bottom rails, mid-height noggins. Measured on the wall centre line, length x full height per level (HT01 GF 2,425; HT01 FF 2,670; HT02 2,336), gross - door openings NOT deducted (forming openings is measured in 5C). Rate 5A per m2 for framing LABOUR; enter a 5A Supply rate only when pricing a composite m2 rate - otherwise price timber supply in 5B, not both. Plasterboard, tape and skim are in Bill 2.</t>
        </is>
      </c>
    </row>
    <row r="10" ht="39" customHeight="1">
      <c r="A10" s="79" t="inlineStr">
        <is>
          <t>5A.1</t>
        </is>
      </c>
      <c r="B10" s="79" t="inlineStr">
        <is>
          <t>HT01 ground floor partitions, 2,425 high: 38 x 89 C16 studs at 600 c/c, 38 x 89 head and bottom rails (general partitions)</t>
        </is>
      </c>
      <c r="C10" s="79" t="inlineStr">
        <is>
          <t>m2</t>
        </is>
      </c>
      <c r="D10" s="109" t="n">
        <v>15.335</v>
      </c>
      <c r="E10" s="109" t="n">
        <v>23.034</v>
      </c>
      <c r="F10" s="109" t="n">
        <v>23.034</v>
      </c>
      <c r="G10" s="109" t="n"/>
      <c r="H10" s="94">
        <f>SUMPRODUCT($D$7:$G$7,D10:G10)</f>
        <v/>
      </c>
      <c r="I10" s="110" t="n"/>
      <c r="J10" s="110" t="n"/>
      <c r="K10" s="80">
        <f>N(H10)*N(I10)</f>
        <v/>
      </c>
      <c r="L10" s="80">
        <f>N(H10)*N(J10)</f>
        <v/>
      </c>
      <c r="M10" s="91">
        <f>K10+L10</f>
        <v/>
      </c>
      <c r="N10" s="111" t="inlineStr">
        <is>
          <t>HT01 GF: wall length x 2.425 m</t>
        </is>
      </c>
    </row>
    <row r="11" ht="39" customHeight="1">
      <c r="A11" s="79" t="inlineStr">
        <is>
          <t>5A.2</t>
        </is>
      </c>
      <c r="B11" s="79" t="inlineStr">
        <is>
          <t>HT01 ground floor partitions, 2,425 high: 38 x 89 C16 studs at 400 c/c, 38 x 89 rails (bathroom / WC walls, pattressed)</t>
        </is>
      </c>
      <c r="C11" s="79" t="inlineStr">
        <is>
          <t>m2</t>
        </is>
      </c>
      <c r="D11" s="109" t="n">
        <v>15.502</v>
      </c>
      <c r="E11" s="109" t="n">
        <v>23.284</v>
      </c>
      <c r="F11" s="109" t="n">
        <v>23.284</v>
      </c>
      <c r="G11" s="109" t="n"/>
      <c r="H11" s="94">
        <f>SUMPRODUCT($D$7:$G$7,D11:G11)</f>
        <v/>
      </c>
      <c r="I11" s="110" t="n"/>
      <c r="J11" s="110" t="n"/>
      <c r="K11" s="80">
        <f>N(H11)*N(I11)</f>
        <v/>
      </c>
      <c r="L11" s="80">
        <f>N(H11)*N(J11)</f>
        <v/>
      </c>
      <c r="M11" s="91">
        <f>K11+L11</f>
        <v/>
      </c>
      <c r="N11" s="111" t="inlineStr">
        <is>
          <t>HT01 GF: wall length x 2.425 m</t>
        </is>
      </c>
    </row>
    <row r="12" ht="39" customHeight="1">
      <c r="A12" s="79" t="inlineStr">
        <is>
          <t>5A.3</t>
        </is>
      </c>
      <c r="B12" s="79" t="inlineStr">
        <is>
          <t>HT01 first floor partitions, 2,670 high: 38 x 89 C16 studs at 600 c/c, 38 x 89 head and bottom rails (general partitions)</t>
        </is>
      </c>
      <c r="C12" s="79" t="inlineStr">
        <is>
          <t>m2</t>
        </is>
      </c>
      <c r="D12" s="109" t="n">
        <v>72.602</v>
      </c>
      <c r="E12" s="109" t="n">
        <v>108.971</v>
      </c>
      <c r="F12" s="109" t="n">
        <v>108.971</v>
      </c>
      <c r="G12" s="109" t="n"/>
      <c r="H12" s="94">
        <f>SUMPRODUCT($D$7:$G$7,D12:G12)</f>
        <v/>
      </c>
      <c r="I12" s="110" t="n"/>
      <c r="J12" s="110" t="n"/>
      <c r="K12" s="80">
        <f>N(H12)*N(I12)</f>
        <v/>
      </c>
      <c r="L12" s="80">
        <f>N(H12)*N(J12)</f>
        <v/>
      </c>
      <c r="M12" s="91">
        <f>K12+L12</f>
        <v/>
      </c>
      <c r="N12" s="111" t="inlineStr">
        <is>
          <t>HT01 FF: wall length x 2.670 m</t>
        </is>
      </c>
    </row>
    <row r="13" ht="39" customHeight="1">
      <c r="A13" s="79" t="inlineStr">
        <is>
          <t>5A.4</t>
        </is>
      </c>
      <c r="B13" s="79" t="inlineStr">
        <is>
          <t>HT01 first floor partitions, 2,670 high: 38 x 89 C16 studs at 400 c/c, 38 x 89 rails (bathroom / WC walls, pattressed)</t>
        </is>
      </c>
      <c r="C13" s="79" t="inlineStr">
        <is>
          <t>m2</t>
        </is>
      </c>
      <c r="D13" s="109" t="n">
        <v>41.817</v>
      </c>
      <c r="E13" s="109" t="n">
        <v>62.759</v>
      </c>
      <c r="F13" s="109" t="n">
        <v>62.759</v>
      </c>
      <c r="G13" s="109" t="n"/>
      <c r="H13" s="94">
        <f>SUMPRODUCT($D$7:$G$7,D13:G13)</f>
        <v/>
      </c>
      <c r="I13" s="110" t="n"/>
      <c r="J13" s="110" t="n"/>
      <c r="K13" s="80">
        <f>N(H13)*N(I13)</f>
        <v/>
      </c>
      <c r="L13" s="80">
        <f>N(H13)*N(J13)</f>
        <v/>
      </c>
      <c r="M13" s="91">
        <f>K13+L13</f>
        <v/>
      </c>
      <c r="N13" s="111" t="inlineStr">
        <is>
          <t>HT01 FF: wall length x 2.670 m</t>
        </is>
      </c>
    </row>
    <row r="14" ht="39" customHeight="1">
      <c r="A14" s="79" t="inlineStr">
        <is>
          <t>5A.5</t>
        </is>
      </c>
      <c r="B14" s="79" t="inlineStr">
        <is>
          <t>HT02 ground floor partitions, 2,336 high: 38 x 89 C16 studs at 600 c/c, 38 x 89 head and bottom rails (general partitions)</t>
        </is>
      </c>
      <c r="C14" s="79" t="inlineStr">
        <is>
          <t>m2</t>
        </is>
      </c>
      <c r="D14" s="109" t="n"/>
      <c r="E14" s="109" t="n"/>
      <c r="F14" s="109" t="n"/>
      <c r="G14" s="109" t="n">
        <v>39.628</v>
      </c>
      <c r="H14" s="94">
        <f>SUMPRODUCT($D$7:$G$7,D14:G14)</f>
        <v/>
      </c>
      <c r="I14" s="110" t="n"/>
      <c r="J14" s="110" t="n"/>
      <c r="K14" s="80">
        <f>N(H14)*N(I14)</f>
        <v/>
      </c>
      <c r="L14" s="80">
        <f>N(H14)*N(J14)</f>
        <v/>
      </c>
      <c r="M14" s="91">
        <f>K14+L14</f>
        <v/>
      </c>
      <c r="N14" s="111" t="inlineStr">
        <is>
          <t>HT02 GF: wall length x 2.336 m</t>
        </is>
      </c>
    </row>
    <row r="15" ht="39" customHeight="1">
      <c r="A15" s="79" t="inlineStr">
        <is>
          <t>5A.6</t>
        </is>
      </c>
      <c r="B15" s="79" t="inlineStr">
        <is>
          <t>HT02 ground floor partitions, 2,336 high: 38 x 89 C16 studs at 400 c/c, 38 x 89 rails (bathroom / WC walls, pattressed)</t>
        </is>
      </c>
      <c r="C15" s="79" t="inlineStr">
        <is>
          <t>m2</t>
        </is>
      </c>
      <c r="D15" s="109" t="n"/>
      <c r="E15" s="109" t="n"/>
      <c r="F15" s="109" t="n"/>
      <c r="G15" s="109" t="n">
        <v>21.255</v>
      </c>
      <c r="H15" s="94">
        <f>SUMPRODUCT($D$7:$G$7,D15:G15)</f>
        <v/>
      </c>
      <c r="I15" s="110" t="n"/>
      <c r="J15" s="110" t="n"/>
      <c r="K15" s="80">
        <f>N(H15)*N(I15)</f>
        <v/>
      </c>
      <c r="L15" s="80">
        <f>N(H15)*N(J15)</f>
        <v/>
      </c>
      <c r="M15" s="91">
        <f>K15+L15</f>
        <v/>
      </c>
      <c r="N15" s="111" t="inlineStr">
        <is>
          <t>HT02 GF: wall length x 2.336 m</t>
        </is>
      </c>
    </row>
    <row r="16">
      <c r="A16" s="100" t="inlineStr">
        <is>
          <t>5B  Partition timber - supply (NRM2 16 / package JOI)</t>
        </is>
      </c>
    </row>
    <row r="17" ht="39" customHeight="1">
      <c r="B17" s="108" t="inlineStr">
        <is>
          <t>ESTIMATE in linear metres of 38 x 89 C16 kiln-dried sawn softwood: common studs from the TLSTF build reports (WDP2_verify stud counts) x stud length, 2 king studs and cripples per door, head rail, bottom rail (less door gaps), door head rails and one mid-height noggin row. The TLSTF construction extract (cut lengths) was NOT exported for ES26-080 - reconcile against it before ordering. Supply only - labour in 5A / 5C.</t>
        </is>
      </c>
    </row>
    <row r="18" ht="26" customHeight="1">
      <c r="A18" s="79" t="inlineStr">
        <is>
          <t>5B.1</t>
        </is>
      </c>
      <c r="B18" s="79" t="inlineStr">
        <is>
          <t>38 x 89 C16 kiln-dried sawn softwood: studs, king studs and cripples over door heads</t>
        </is>
      </c>
      <c r="C18" s="79" t="inlineStr">
        <is>
          <t>m</t>
        </is>
      </c>
      <c r="D18" s="109" t="n">
        <v>489.016</v>
      </c>
      <c r="E18" s="109" t="n">
        <v>736.1559999999999</v>
      </c>
      <c r="F18" s="109" t="n">
        <v>736.1559999999999</v>
      </c>
      <c r="G18" s="109" t="n">
        <v>191.316</v>
      </c>
      <c r="H18" s="94">
        <f>SUMPRODUCT($D$7:$G$7,D18:G18)</f>
        <v/>
      </c>
      <c r="I18" s="110" t="n"/>
      <c r="J18" s="110" t="n"/>
      <c r="K18" s="80">
        <f>N(H18)*N(I18)</f>
        <v/>
      </c>
      <c r="L18" s="80">
        <f>N(H18)*N(J18)</f>
        <v/>
      </c>
      <c r="M18" s="91">
        <f>K18+L18</f>
        <v/>
      </c>
      <c r="N18" s="111" t="inlineStr">
        <is>
          <t>Estimate - see 5B note</t>
        </is>
      </c>
    </row>
    <row r="19" ht="26" customHeight="1">
      <c r="A19" s="79" t="inlineStr">
        <is>
          <t>5B.2</t>
        </is>
      </c>
      <c r="B19" s="79" t="inlineStr">
        <is>
          <t>38 x 89 C16 kiln-dried sawn softwood: head and bottom rails, incl. door head rails</t>
        </is>
      </c>
      <c r="C19" s="79" t="inlineStr">
        <is>
          <t>m</t>
        </is>
      </c>
      <c r="D19" s="109" t="n">
        <v>111.14</v>
      </c>
      <c r="E19" s="109" t="n">
        <v>166.837</v>
      </c>
      <c r="F19" s="109" t="n">
        <v>166.837</v>
      </c>
      <c r="G19" s="109" t="n">
        <v>52.126</v>
      </c>
      <c r="H19" s="94">
        <f>SUMPRODUCT($D$7:$G$7,D19:G19)</f>
        <v/>
      </c>
      <c r="I19" s="110" t="n"/>
      <c r="J19" s="110" t="n"/>
      <c r="K19" s="80">
        <f>N(H19)*N(I19)</f>
        <v/>
      </c>
      <c r="L19" s="80">
        <f>N(H19)*N(J19)</f>
        <v/>
      </c>
      <c r="M19" s="91">
        <f>K19+L19</f>
        <v/>
      </c>
      <c r="N19" s="111" t="inlineStr">
        <is>
          <t>Estimate - see 5B note</t>
        </is>
      </c>
    </row>
    <row r="20" ht="26" customHeight="1">
      <c r="A20" s="79" t="inlineStr">
        <is>
          <t>5B.3</t>
        </is>
      </c>
      <c r="B20" s="79" t="inlineStr">
        <is>
          <t>38 x 89 C16 kiln-dried sawn softwood: noggins (mid-height, fixing and board support)</t>
        </is>
      </c>
      <c r="C20" s="79" t="inlineStr">
        <is>
          <t>m</t>
        </is>
      </c>
      <c r="D20" s="109" t="n">
        <v>42.37</v>
      </c>
      <c r="E20" s="109" t="n">
        <v>63.619</v>
      </c>
      <c r="F20" s="109" t="n">
        <v>63.619</v>
      </c>
      <c r="G20" s="109" t="n">
        <v>20.963</v>
      </c>
      <c r="H20" s="94">
        <f>SUMPRODUCT($D$7:$G$7,D20:G20)</f>
        <v/>
      </c>
      <c r="I20" s="110" t="n"/>
      <c r="J20" s="110" t="n"/>
      <c r="K20" s="80">
        <f>N(H20)*N(I20)</f>
        <v/>
      </c>
      <c r="L20" s="80">
        <f>N(H20)*N(J20)</f>
        <v/>
      </c>
      <c r="M20" s="91">
        <f>K20+L20</f>
        <v/>
      </c>
      <c r="N20" s="111" t="inlineStr">
        <is>
          <t>Estimate - see 5B note</t>
        </is>
      </c>
    </row>
    <row r="21" ht="26" customHeight="1">
      <c r="A21" s="114" t="inlineStr">
        <is>
          <t>5B.4</t>
        </is>
      </c>
      <c r="B21" s="114" t="inlineStr">
        <is>
          <t>38 x 89 C16 - 4.8 m lengths to order (run +5%, not cut-optimised)</t>
        </is>
      </c>
      <c r="C21" s="114" t="inlineStr">
        <is>
          <t>nr</t>
        </is>
      </c>
      <c r="D21" s="115" t="n">
        <v>141</v>
      </c>
      <c r="E21" s="115" t="n">
        <v>212</v>
      </c>
      <c r="F21" s="115" t="n">
        <v>212</v>
      </c>
      <c r="G21" s="115" t="n">
        <v>58</v>
      </c>
      <c r="H21" s="115">
        <f>SUMPRODUCT($D$7:$G$7,D21:G21)</f>
        <v/>
      </c>
      <c r="I21" s="116" t="n"/>
      <c r="J21" s="116" t="n"/>
      <c r="K21" s="116" t="n"/>
      <c r="L21" s="116" t="n"/>
      <c r="M21" s="117" t="inlineStr">
        <is>
          <t>not priced</t>
        </is>
      </c>
      <c r="N21" s="118" t="inlineStr">
        <is>
          <t>Ordering guide only - not priced in addition to the runs above</t>
        </is>
      </c>
    </row>
    <row r="22">
      <c r="A22" s="100" t="inlineStr">
        <is>
          <t>5C  Forming door openings in partitions (NRM2 16 / package JOI)</t>
        </is>
      </c>
    </row>
    <row r="23" ht="26" customHeight="1">
      <c r="B23" s="108" t="inlineStr">
        <is>
          <t>Per opening: 2 full-height king studs, 38 x 89 head rail at 2,100 above the floor, cripple studs over the head and the bottom rail cut out across the gap. Timber is in 5B; the rate is per opening (labour; supply only for extra fixings / packers).</t>
        </is>
      </c>
    </row>
    <row r="24" ht="39" customHeight="1">
      <c r="A24" s="79" t="inlineStr">
        <is>
          <t>5C.1</t>
        </is>
      </c>
      <c r="B24" s="79" t="inlineStr">
        <is>
          <t>Form door opening 700 wide x 2,100 high in 89 partition (cupboard / store): 2 king studs, head rail, cripples over</t>
        </is>
      </c>
      <c r="C24" s="79" t="inlineStr">
        <is>
          <t>nr</t>
        </is>
      </c>
      <c r="D24" s="109" t="n">
        <v>6</v>
      </c>
      <c r="E24" s="109" t="n">
        <v>9</v>
      </c>
      <c r="F24" s="109" t="n">
        <v>9</v>
      </c>
      <c r="G24" s="109" t="n"/>
      <c r="H24" s="94">
        <f>SUMPRODUCT($D$7:$G$7,D24:G24)</f>
        <v/>
      </c>
      <c r="I24" s="110" t="n"/>
      <c r="J24" s="110" t="n"/>
      <c r="K24" s="80">
        <f>N(H24)*N(I24)</f>
        <v/>
      </c>
      <c r="L24" s="80">
        <f>N(H24)*N(J24)</f>
        <v/>
      </c>
      <c r="M24" s="91">
        <f>K24+L24</f>
        <v/>
      </c>
      <c r="N24" s="111" t="inlineStr">
        <is>
          <t>Doorsets in Bill 3</t>
        </is>
      </c>
    </row>
    <row r="25" ht="39" customHeight="1">
      <c r="A25" s="79" t="inlineStr">
        <is>
          <t>5C.2</t>
        </is>
      </c>
      <c r="B25" s="79" t="inlineStr">
        <is>
          <t>Form door opening 800 wide x 2,100 high in 89 partition (store / cupboard (HT02)): 2 king studs, head rail, cripples over</t>
        </is>
      </c>
      <c r="C25" s="79" t="inlineStr">
        <is>
          <t>nr</t>
        </is>
      </c>
      <c r="D25" s="109" t="n"/>
      <c r="E25" s="109" t="n"/>
      <c r="F25" s="109" t="n"/>
      <c r="G25" s="109" t="n">
        <v>3</v>
      </c>
      <c r="H25" s="94">
        <f>SUMPRODUCT($D$7:$G$7,D25:G25)</f>
        <v/>
      </c>
      <c r="I25" s="110" t="n"/>
      <c r="J25" s="110" t="n"/>
      <c r="K25" s="80">
        <f>N(H25)*N(I25)</f>
        <v/>
      </c>
      <c r="L25" s="80">
        <f>N(H25)*N(J25)</f>
        <v/>
      </c>
      <c r="M25" s="91">
        <f>K25+L25</f>
        <v/>
      </c>
      <c r="N25" s="111" t="inlineStr">
        <is>
          <t>Doorsets in Bill 3</t>
        </is>
      </c>
    </row>
    <row r="26" ht="39" customHeight="1">
      <c r="A26" s="79" t="inlineStr">
        <is>
          <t>5C.3</t>
        </is>
      </c>
      <c r="B26" s="79" t="inlineStr">
        <is>
          <t>Form door opening 900 wide x 2,100 high in 89 partition (room / bathroom door): 2 king studs, head rail, cripples over</t>
        </is>
      </c>
      <c r="C26" s="79" t="inlineStr">
        <is>
          <t>nr</t>
        </is>
      </c>
      <c r="D26" s="109" t="n">
        <v>10</v>
      </c>
      <c r="E26" s="109" t="n">
        <v>15</v>
      </c>
      <c r="F26" s="109" t="n">
        <v>15</v>
      </c>
      <c r="G26" s="109" t="n">
        <v>3</v>
      </c>
      <c r="H26" s="94">
        <f>SUMPRODUCT($D$7:$G$7,D26:G26)</f>
        <v/>
      </c>
      <c r="I26" s="110" t="n"/>
      <c r="J26" s="110" t="n"/>
      <c r="K26" s="80">
        <f>N(H26)*N(I26)</f>
        <v/>
      </c>
      <c r="L26" s="80">
        <f>N(H26)*N(J26)</f>
        <v/>
      </c>
      <c r="M26" s="91">
        <f>K26+L26</f>
        <v/>
      </c>
      <c r="N26" s="111" t="inlineStr">
        <is>
          <t>Doorsets in Bill 3</t>
        </is>
      </c>
    </row>
    <row r="27">
      <c r="A27" s="100" t="inlineStr">
        <is>
          <t>5D  Pattresses, noggins to floor and roof structure, head restraint (NRM2 16 / package JOI)</t>
        </is>
      </c>
    </row>
    <row r="28" ht="39" customHeight="1">
      <c r="B28" s="108" t="inlineStr">
        <is>
          <t>From the WDP2 partition build reports. Pattress: 18 mm WBP plywood between studs on the wet-room face of the 400 c/c walls, 150-1,950 above the floor, for sanitaryware and fittings (area = WDP2 pieces x 362 clear bay x 0.9 m - two pieces per bay, split at the noggin). Floor noggins between the PS10 metal-web joists where an HT01 partition runs parallel to them. Ceiling noggins between truss bottom chords where a top-floor partition runs parallel; slotted head-restraint clips allow truss deflection.</t>
        </is>
      </c>
    </row>
    <row r="29" ht="26" customHeight="1">
      <c r="A29" s="79" t="inlineStr">
        <is>
          <t>5D.1</t>
        </is>
      </c>
      <c r="B29" s="79" t="inlineStr">
        <is>
          <t>18 mm WBP plywood pattress boards between studs, wet-room face, cut to fit (band 150-1,950 above floor)</t>
        </is>
      </c>
      <c r="C29" s="79" t="inlineStr">
        <is>
          <t>m2</t>
        </is>
      </c>
      <c r="D29" s="109" t="n">
        <v>16.29</v>
      </c>
      <c r="E29" s="109" t="n">
        <v>24.761</v>
      </c>
      <c r="F29" s="109" t="n">
        <v>24.761</v>
      </c>
      <c r="G29" s="109" t="n">
        <v>9.773999999999999</v>
      </c>
      <c r="H29" s="94">
        <f>SUMPRODUCT($D$7:$G$7,D29:G29)</f>
        <v/>
      </c>
      <c r="I29" s="110" t="n"/>
      <c r="J29" s="110" t="n"/>
      <c r="K29" s="80">
        <f>N(H29)*N(I29)</f>
        <v/>
      </c>
      <c r="L29" s="80">
        <f>N(H29)*N(J29)</f>
        <v/>
      </c>
      <c r="M29" s="91">
        <f>K29+L29</f>
        <v/>
      </c>
      <c r="N29" s="111" t="inlineStr">
        <is>
          <t>Pieces per block: SEMI 50, TER3B 76, BUNG 30</t>
        </is>
      </c>
    </row>
    <row r="30" ht="39" customHeight="1">
      <c r="A30" s="79" t="inlineStr">
        <is>
          <t>5D.2</t>
        </is>
      </c>
      <c r="B30" s="79" t="inlineStr">
        <is>
          <t>Noggins 47 x 250 C24 x ~301 long between FF joists over GF / FF partitions running parallel, skew-nailed or on hangers</t>
        </is>
      </c>
      <c r="C30" s="79" t="inlineStr">
        <is>
          <t>nr</t>
        </is>
      </c>
      <c r="D30" s="109" t="n">
        <v>10</v>
      </c>
      <c r="E30" s="109" t="n">
        <v>15</v>
      </c>
      <c r="F30" s="109" t="n">
        <v>15</v>
      </c>
      <c r="G30" s="109" t="n"/>
      <c r="H30" s="94">
        <f>SUMPRODUCT($D$7:$G$7,D30:G30)</f>
        <v/>
      </c>
      <c r="I30" s="110" t="n"/>
      <c r="J30" s="110" t="n"/>
      <c r="K30" s="80">
        <f>N(H30)*N(I30)</f>
        <v/>
      </c>
      <c r="L30" s="80">
        <f>N(H30)*N(J30)</f>
        <v/>
      </c>
      <c r="M30" s="91">
        <f>K30+L30</f>
        <v/>
      </c>
      <c r="N30" s="111" t="inlineStr">
        <is>
          <t>HT01 only. 15 partition lines per site model reported a BLOCKER (line on / beside a doubled trimmer) - detail by the floor designer</t>
        </is>
      </c>
    </row>
    <row r="31" ht="39" customHeight="1">
      <c r="A31" s="79" t="inlineStr">
        <is>
          <t>5D.3</t>
        </is>
      </c>
      <c r="B31" s="79" t="inlineStr">
        <is>
          <t>Ceiling noggins, C24, depth to the truss bottom chord (97 HT01 / 72 HT02) x ~565 / ~490 long between chords over parallel partitions</t>
        </is>
      </c>
      <c r="C31" s="79" t="inlineStr">
        <is>
          <t>nr</t>
        </is>
      </c>
      <c r="D31" s="109" t="n">
        <v>54</v>
      </c>
      <c r="E31" s="109" t="n">
        <v>81</v>
      </c>
      <c r="F31" s="109" t="n">
        <v>81</v>
      </c>
      <c r="G31" s="109" t="n">
        <v>26</v>
      </c>
      <c r="H31" s="94">
        <f>SUMPRODUCT($D$7:$G$7,D31:G31)</f>
        <v/>
      </c>
      <c r="I31" s="110" t="n"/>
      <c r="J31" s="110" t="n"/>
      <c r="K31" s="80">
        <f>N(H31)*N(I31)</f>
        <v/>
      </c>
      <c r="L31" s="80">
        <f>N(H31)*N(J31)</f>
        <v/>
      </c>
      <c r="M31" s="91">
        <f>K31+L31</f>
        <v/>
      </c>
      <c r="N31" s="111" t="inlineStr">
        <is>
          <t>HT02: 6 partition ends reported without a chord pair (blockers) - detail with the truss designer</t>
        </is>
      </c>
    </row>
    <row r="32" ht="39" customHeight="1">
      <c r="A32" s="79" t="inlineStr">
        <is>
          <t>5D.4</t>
        </is>
      </c>
      <c r="B32" s="79" t="inlineStr">
        <is>
          <t>Partition head-restraint clip, slotted (Simpson Strong-Tie STC or UK equivalent - confirm), top-floor head rail to truss chord / noggin</t>
        </is>
      </c>
      <c r="C32" s="79" t="inlineStr">
        <is>
          <t>nr</t>
        </is>
      </c>
      <c r="D32" s="109" t="n">
        <v>92</v>
      </c>
      <c r="E32" s="109" t="n">
        <v>138</v>
      </c>
      <c r="F32" s="109" t="n">
        <v>138</v>
      </c>
      <c r="G32" s="109" t="n">
        <v>35</v>
      </c>
      <c r="H32" s="94">
        <f>SUMPRODUCT($D$7:$G$7,D32:G32)</f>
        <v/>
      </c>
      <c r="I32" s="110" t="n"/>
      <c r="J32" s="110" t="n"/>
      <c r="K32" s="80">
        <f>N(H32)*N(I32)</f>
        <v/>
      </c>
      <c r="L32" s="80">
        <f>N(H32)*N(J32)</f>
        <v/>
      </c>
      <c r="M32" s="91">
        <f>K32+L32</f>
        <v/>
      </c>
      <c r="N32" s="111" t="inlineStr">
        <is>
          <t>5 mm deflection gap kept at the head</t>
        </is>
      </c>
    </row>
    <row r="33">
      <c r="A33" s="100" t="inlineStr">
        <is>
          <t>5E  Fixings and sundries (NRM2 16 / package JOI)</t>
        </is>
      </c>
    </row>
    <row r="34" ht="13" customHeight="1">
      <c r="B34" s="108" t="inlineStr">
        <is>
          <t>Bottom rail fixings measured along the rail length (door gaps excluded). Fixing types are proposals - confirm with the designer.</t>
        </is>
      </c>
    </row>
    <row r="35" ht="39" customHeight="1">
      <c r="A35" s="79" t="inlineStr">
        <is>
          <t>5E.1</t>
        </is>
      </c>
      <c r="B35" s="79" t="inlineStr">
        <is>
          <t>Fix GF bottom rails to the screeded ground-bearing slab: concrete screws or shot-fired fixings at max 600 c/c, on DPC strip (confirm)</t>
        </is>
      </c>
      <c r="C35" s="79" t="inlineStr">
        <is>
          <t>m</t>
        </is>
      </c>
      <c r="D35" s="109" t="n">
        <v>9.516</v>
      </c>
      <c r="E35" s="109" t="n">
        <v>14.3</v>
      </c>
      <c r="F35" s="109" t="n">
        <v>14.3</v>
      </c>
      <c r="G35" s="109" t="n">
        <v>20.963</v>
      </c>
      <c r="H35" s="94">
        <f>SUMPRODUCT($D$7:$G$7,D35:G35)</f>
        <v/>
      </c>
      <c r="I35" s="110" t="n"/>
      <c r="J35" s="110" t="n"/>
      <c r="K35" s="80">
        <f>N(H35)*N(I35)</f>
        <v/>
      </c>
      <c r="L35" s="80">
        <f>N(H35)*N(J35)</f>
        <v/>
      </c>
      <c r="M35" s="91">
        <f>K35+L35</f>
        <v/>
      </c>
      <c r="N35" s="111" t="inlineStr">
        <is>
          <t>GF bottom rail length</t>
        </is>
      </c>
    </row>
    <row r="36" ht="26" customHeight="1">
      <c r="A36" s="79" t="inlineStr">
        <is>
          <t>5E.2</t>
        </is>
      </c>
      <c r="B36" s="79" t="inlineStr">
        <is>
          <t>Fix HT01 FF bottom rails through the deck into joists / floor noggins</t>
        </is>
      </c>
      <c r="C36" s="79" t="inlineStr">
        <is>
          <t>m</t>
        </is>
      </c>
      <c r="D36" s="109" t="n">
        <v>32.854</v>
      </c>
      <c r="E36" s="109" t="n">
        <v>49.319</v>
      </c>
      <c r="F36" s="109" t="n">
        <v>49.319</v>
      </c>
      <c r="G36" s="109" t="n"/>
      <c r="H36" s="94">
        <f>SUMPRODUCT($D$7:$G$7,D36:G36)</f>
        <v/>
      </c>
      <c r="I36" s="110" t="n"/>
      <c r="J36" s="110" t="n"/>
      <c r="K36" s="80">
        <f>N(H36)*N(I36)</f>
        <v/>
      </c>
      <c r="L36" s="80">
        <f>N(H36)*N(J36)</f>
        <v/>
      </c>
      <c r="M36" s="91">
        <f>K36+L36</f>
        <v/>
      </c>
      <c r="N36" s="111" t="inlineStr">
        <is>
          <t>FF bottom rail length</t>
        </is>
      </c>
    </row>
    <row r="37" ht="26" customHeight="1">
      <c r="A37" s="79" t="inlineStr">
        <is>
          <t>5E.3</t>
        </is>
      </c>
      <c r="B37" s="79" t="inlineStr">
        <is>
          <t>Head rail fixings: HT01 GF heads to joist bottom chords / floor noggins; top-floor heads via the 5D.4 clips</t>
        </is>
      </c>
      <c r="C37" s="79" t="inlineStr">
        <is>
          <t>item</t>
        </is>
      </c>
      <c r="D37" s="109" t="n"/>
      <c r="E37" s="109" t="n"/>
      <c r="F37" s="109" t="n"/>
      <c r="G37" s="109" t="n"/>
      <c r="H37" s="94" t="n"/>
      <c r="I37" s="110" t="n"/>
      <c r="J37" s="110" t="n"/>
      <c r="K37" s="80">
        <f>IF(ISNUMBER(H37),H37,1)*N(I37)</f>
        <v/>
      </c>
      <c r="L37" s="80">
        <f>IF(ISNUMBER(H37),H37,1)*N(J37)</f>
        <v/>
      </c>
      <c r="M37" s="91">
        <f>K37+L37</f>
        <v/>
      </c>
      <c r="N37" s="111" t="inlineStr">
        <is>
          <t>Lump sum - the rate entered is the amount. Labour and fixings</t>
        </is>
      </c>
    </row>
    <row r="38" ht="26" customHeight="1">
      <c r="A38" s="79" t="inlineStr">
        <is>
          <t>5E.4</t>
        </is>
      </c>
      <c r="B38" s="79" t="inlineStr">
        <is>
          <t>Nails, screws, framing fixings and sundries for the partition framing</t>
        </is>
      </c>
      <c r="C38" s="79" t="inlineStr">
        <is>
          <t>item</t>
        </is>
      </c>
      <c r="D38" s="109" t="n"/>
      <c r="E38" s="109" t="n"/>
      <c r="F38" s="109" t="n"/>
      <c r="G38" s="109" t="n"/>
      <c r="H38" s="94" t="n"/>
      <c r="I38" s="110" t="n"/>
      <c r="J38" s="110" t="n"/>
      <c r="K38" s="80">
        <f>IF(ISNUMBER(H38),H38,1)*N(I38)</f>
        <v/>
      </c>
      <c r="L38" s="80">
        <f>IF(ISNUMBER(H38),H38,1)*N(J38)</f>
        <v/>
      </c>
      <c r="M38" s="91">
        <f>K38+L38</f>
        <v/>
      </c>
      <c r="N38" s="111" t="inlineStr">
        <is>
          <t xml:space="preserve">Lump sum - the rate entered is the amount. </t>
        </is>
      </c>
    </row>
    <row r="40" ht="20" customHeight="1">
      <c r="A40" s="90" t="inlineStr">
        <is>
          <t>PACKAGE SUMMARY  -  Bill 5  Timber Stud Partitions - Framing, Openings, Pattresses &amp; Fixings  (package JOI; amounts by others, excl. VAT)</t>
        </is>
      </c>
    </row>
    <row r="41" ht="30" customHeight="1">
      <c r="A41" s="78" t="inlineStr">
        <is>
          <t>Section</t>
        </is>
      </c>
      <c r="B41" s="78" t="inlineStr">
        <is>
          <t>Description</t>
        </is>
      </c>
      <c r="C41" s="96" t="n"/>
      <c r="D41" s="96" t="n"/>
      <c r="E41" s="96" t="n"/>
      <c r="F41" s="96" t="n"/>
      <c r="G41" s="96" t="n"/>
      <c r="H41" s="96" t="n"/>
      <c r="I41" s="96" t="n"/>
      <c r="J41" s="97" t="n"/>
      <c r="K41" s="78" t="inlineStr">
        <is>
          <t>Supply
£</t>
        </is>
      </c>
      <c r="L41" s="78" t="inlineStr">
        <is>
          <t>Install
£</t>
        </is>
      </c>
      <c r="M41" s="78" t="inlineStr">
        <is>
          <t>Total
£</t>
        </is>
      </c>
      <c r="N41" s="78" t="inlineStr"/>
    </row>
    <row r="42" ht="16" customHeight="1">
      <c r="A42" s="112" t="inlineStr">
        <is>
          <t>5A</t>
        </is>
      </c>
      <c r="B42" s="79" t="inlineStr">
        <is>
          <t>Timber stud partitions, non-loadbearing - framing (NRM2 16 / package JOI)</t>
        </is>
      </c>
      <c r="C42" s="85" t="n"/>
      <c r="D42" s="85" t="n"/>
      <c r="E42" s="85" t="n"/>
      <c r="F42" s="85" t="n"/>
      <c r="G42" s="85" t="n"/>
      <c r="H42" s="85" t="n"/>
      <c r="I42" s="85" t="n"/>
      <c r="J42" s="85" t="n"/>
      <c r="K42" s="80">
        <f>SUM(K9:K15)</f>
        <v/>
      </c>
      <c r="L42" s="80">
        <f>SUM(L9:L15)</f>
        <v/>
      </c>
      <c r="M42" s="91">
        <f>SUM(M9:M15)</f>
        <v/>
      </c>
    </row>
    <row r="43" ht="16" customHeight="1">
      <c r="A43" s="112" t="inlineStr">
        <is>
          <t>5B</t>
        </is>
      </c>
      <c r="B43" s="79" t="inlineStr">
        <is>
          <t>Partition timber - supply (NRM2 16 / package JOI)</t>
        </is>
      </c>
      <c r="C43" s="85" t="n"/>
      <c r="D43" s="85" t="n"/>
      <c r="E43" s="85" t="n"/>
      <c r="F43" s="85" t="n"/>
      <c r="G43" s="85" t="n"/>
      <c r="H43" s="85" t="n"/>
      <c r="I43" s="85" t="n"/>
      <c r="J43" s="85" t="n"/>
      <c r="K43" s="80">
        <f>SUM(K17:K21)</f>
        <v/>
      </c>
      <c r="L43" s="80">
        <f>SUM(L17:L21)</f>
        <v/>
      </c>
      <c r="M43" s="91">
        <f>SUM(M17:M21)</f>
        <v/>
      </c>
    </row>
    <row r="44" ht="16" customHeight="1">
      <c r="A44" s="112" t="inlineStr">
        <is>
          <t>5C</t>
        </is>
      </c>
      <c r="B44" s="79" t="inlineStr">
        <is>
          <t>Forming door openings in partitions (NRM2 16 / package JOI)</t>
        </is>
      </c>
      <c r="C44" s="85" t="n"/>
      <c r="D44" s="85" t="n"/>
      <c r="E44" s="85" t="n"/>
      <c r="F44" s="85" t="n"/>
      <c r="G44" s="85" t="n"/>
      <c r="H44" s="85" t="n"/>
      <c r="I44" s="85" t="n"/>
      <c r="J44" s="85" t="n"/>
      <c r="K44" s="80">
        <f>SUM(K23:K26)</f>
        <v/>
      </c>
      <c r="L44" s="80">
        <f>SUM(L23:L26)</f>
        <v/>
      </c>
      <c r="M44" s="91">
        <f>SUM(M23:M26)</f>
        <v/>
      </c>
    </row>
    <row r="45" ht="16" customHeight="1">
      <c r="A45" s="112" t="inlineStr">
        <is>
          <t>5D</t>
        </is>
      </c>
      <c r="B45" s="79" t="inlineStr">
        <is>
          <t>Pattresses, noggins to floor and roof structure, head restraint (NRM2 16 / package JOI)</t>
        </is>
      </c>
      <c r="C45" s="85" t="n"/>
      <c r="D45" s="85" t="n"/>
      <c r="E45" s="85" t="n"/>
      <c r="F45" s="85" t="n"/>
      <c r="G45" s="85" t="n"/>
      <c r="H45" s="85" t="n"/>
      <c r="I45" s="85" t="n"/>
      <c r="J45" s="85" t="n"/>
      <c r="K45" s="80">
        <f>SUM(K28:K32)</f>
        <v/>
      </c>
      <c r="L45" s="80">
        <f>SUM(L28:L32)</f>
        <v/>
      </c>
      <c r="M45" s="91">
        <f>SUM(M28:M32)</f>
        <v/>
      </c>
    </row>
    <row r="46" ht="16" customHeight="1">
      <c r="A46" s="112" t="inlineStr">
        <is>
          <t>5E</t>
        </is>
      </c>
      <c r="B46" s="79" t="inlineStr">
        <is>
          <t>Fixings and sundries (NRM2 16 / package JOI)</t>
        </is>
      </c>
      <c r="C46" s="85" t="n"/>
      <c r="D46" s="85" t="n"/>
      <c r="E46" s="85" t="n"/>
      <c r="F46" s="85" t="n"/>
      <c r="G46" s="85" t="n"/>
      <c r="H46" s="85" t="n"/>
      <c r="I46" s="85" t="n"/>
      <c r="J46" s="85" t="n"/>
      <c r="K46" s="80">
        <f>SUM(K34:K38)</f>
        <v/>
      </c>
      <c r="L46" s="80">
        <f>SUM(L34:L38)</f>
        <v/>
      </c>
      <c r="M46" s="91">
        <f>SUM(M34:M38)</f>
        <v/>
      </c>
    </row>
    <row r="47" ht="20" customHeight="1">
      <c r="A47" s="113" t="inlineStr">
        <is>
          <t>PACKAGE TOTAL - Bill 5, carried to the Cover overview</t>
        </is>
      </c>
      <c r="K47" s="82">
        <f>SUM(K42:K46)</f>
        <v/>
      </c>
      <c r="L47" s="82">
        <f>SUM(L42:L46)</f>
        <v/>
      </c>
      <c r="M47" s="82">
        <f>SUM(M42:M46)</f>
        <v/>
      </c>
    </row>
    <row r="48" ht="24" customHeight="1">
      <c r="A48" s="92"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22">
    <mergeCell ref="A40:N40"/>
    <mergeCell ref="A47:J47"/>
    <mergeCell ref="C1:N1"/>
    <mergeCell ref="B9:N9"/>
    <mergeCell ref="B42:J42"/>
    <mergeCell ref="A48:N48"/>
    <mergeCell ref="B44:J44"/>
    <mergeCell ref="C2:N2"/>
    <mergeCell ref="A16:N16"/>
    <mergeCell ref="A27:N27"/>
    <mergeCell ref="B45:J45"/>
    <mergeCell ref="B41:J41"/>
    <mergeCell ref="A33:N33"/>
    <mergeCell ref="A8:N8"/>
    <mergeCell ref="A22:N22"/>
    <mergeCell ref="B23:N23"/>
    <mergeCell ref="A4:N4"/>
    <mergeCell ref="B46:J46"/>
    <mergeCell ref="B17:N17"/>
    <mergeCell ref="B43:J43"/>
    <mergeCell ref="B34:N34"/>
    <mergeCell ref="B28:N28"/>
  </mergeCells>
  <printOptions horizontalCentered="1"/>
  <pageMargins left="0.75" right="0.75" top="0.7" bottom="0.75" header="0.5" footer="0.5"/>
  <pageSetup orientation="landscape" paperSize="9" fitToHeight="0" fitToWidth="1"/>
  <headerFooter>
    <oddHeader>&amp;L&amp;8 BuildEase  |  ES26-080 Land to Rear of 1-8 Wesley Terrace, Castleside  |  Wannop Developments Ltd&amp;R&amp;8 Bill of Quantities Package - Finishes &amp;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18.xml><?xml version="1.0" encoding="utf-8"?>
<worksheet xmlns="http://schemas.openxmlformats.org/spreadsheetml/2006/main">
  <sheetPr>
    <outlinePr summaryBelow="1" summaryRight="1"/>
    <pageSetUpPr fitToPage="1"/>
  </sheetPr>
  <dimension ref="A1:G34"/>
  <sheetViews>
    <sheetView showGridLines="0" workbookViewId="0">
      <pane ySplit="6" topLeftCell="A7" activePane="bottomLeft" state="frozen"/>
      <selection pane="bottomLeft" activeCell="A1" sqref="A1"/>
    </sheetView>
  </sheetViews>
  <sheetFormatPr baseColWidth="8" defaultRowHeight="15"/>
  <cols>
    <col width="8" customWidth="1" min="1" max="1"/>
    <col width="16" customWidth="1" min="2" max="2"/>
    <col width="6" customWidth="1" min="3" max="3"/>
    <col width="52" customWidth="1" min="4" max="4"/>
    <col width="12" customWidth="1" min="5" max="5"/>
    <col width="12" customWidth="1" min="6" max="6"/>
    <col width="12" customWidth="1" min="7" max="7"/>
  </cols>
  <sheetData>
    <row r="1" ht="22" customHeight="1">
      <c r="C1" s="70" t="inlineStr">
        <is>
          <t>Schedule A - Floor Areas by Room</t>
        </is>
      </c>
    </row>
    <row r="2" ht="18" customHeight="1">
      <c r="C2" s="71" t="inlineStr">
        <is>
          <t>Per dwelling, measured on the finished faces of the model set-out (ICF on the drawn outer face). Not priced.</t>
        </is>
      </c>
    </row>
    <row r="3" ht="4" customHeight="1">
      <c r="A3" s="72" t="n"/>
      <c r="B3" s="72" t="n"/>
      <c r="C3" s="72" t="n"/>
      <c r="D3" s="72" t="n"/>
      <c r="E3" s="72" t="n"/>
      <c r="F3" s="72" t="n"/>
      <c r="G3" s="72" t="n"/>
    </row>
    <row r="4" ht="62"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6" ht="30" customHeight="1">
      <c r="A6" s="78" t="inlineStr">
        <is>
          <t>House type</t>
        </is>
      </c>
      <c r="B6" s="78" t="inlineStr">
        <is>
          <t>Unit position</t>
        </is>
      </c>
      <c r="C6" s="78" t="inlineStr">
        <is>
          <t>Level</t>
        </is>
      </c>
      <c r="D6" s="78" t="inlineStr">
        <is>
          <t>Room</t>
        </is>
      </c>
      <c r="E6" s="78" t="inlineStr">
        <is>
          <t>Drawn m2</t>
        </is>
      </c>
      <c r="F6" s="78" t="inlineStr">
        <is>
          <t>Floor m2</t>
        </is>
      </c>
      <c r="G6" s="78" t="inlineStr">
        <is>
          <t>Ceiling m2</t>
        </is>
      </c>
    </row>
    <row r="7">
      <c r="A7" s="79" t="inlineStr">
        <is>
          <t>HT01</t>
        </is>
      </c>
      <c r="B7" s="79" t="inlineStr">
        <is>
          <t>end unit</t>
        </is>
      </c>
      <c r="C7" s="79" t="inlineStr">
        <is>
          <t>GF</t>
        </is>
      </c>
      <c r="D7" s="79" t="inlineStr">
        <is>
          <t>Living / kitchen / dining (open plan, incl. hall and stair)</t>
        </is>
      </c>
      <c r="E7" s="123" t="n"/>
      <c r="F7" s="123" t="n">
        <v>44.9</v>
      </c>
      <c r="G7" s="123" t="n">
        <v>44.9</v>
      </c>
    </row>
    <row r="8">
      <c r="A8" s="79" t="inlineStr">
        <is>
          <t>HT01</t>
        </is>
      </c>
      <c r="B8" s="79" t="inlineStr">
        <is>
          <t>end unit</t>
        </is>
      </c>
      <c r="C8" s="79" t="inlineStr">
        <is>
          <t>GF</t>
        </is>
      </c>
      <c r="D8" s="79" t="inlineStr">
        <is>
          <t>WC</t>
        </is>
      </c>
      <c r="E8" s="123" t="n"/>
      <c r="F8" s="123" t="n">
        <v>2.2</v>
      </c>
      <c r="G8" s="123" t="n">
        <v>2.2</v>
      </c>
    </row>
    <row r="9">
      <c r="A9" s="79" t="inlineStr">
        <is>
          <t>HT01</t>
        </is>
      </c>
      <c r="B9" s="79" t="inlineStr">
        <is>
          <t>end unit</t>
        </is>
      </c>
      <c r="C9" s="79" t="inlineStr">
        <is>
          <t>GF</t>
        </is>
      </c>
      <c r="D9" s="79" t="inlineStr">
        <is>
          <t>Under-stair store</t>
        </is>
      </c>
      <c r="E9" s="123" t="n"/>
      <c r="F9" s="123" t="n">
        <v>1.83</v>
      </c>
      <c r="G9" s="123" t="n">
        <v>1.83</v>
      </c>
    </row>
    <row r="10">
      <c r="A10" s="79" t="inlineStr">
        <is>
          <t>HT01</t>
        </is>
      </c>
      <c r="B10" s="79" t="inlineStr">
        <is>
          <t>end unit</t>
        </is>
      </c>
      <c r="C10" s="79" t="inlineStr">
        <is>
          <t>FF</t>
        </is>
      </c>
      <c r="D10" s="79" t="inlineStr">
        <is>
          <t>Bedroom 1</t>
        </is>
      </c>
      <c r="E10" s="123" t="n">
        <v>12.65</v>
      </c>
      <c r="F10" s="123" t="n">
        <v>13.08</v>
      </c>
      <c r="G10" s="123" t="n">
        <v>13.08</v>
      </c>
    </row>
    <row r="11">
      <c r="A11" s="79" t="inlineStr">
        <is>
          <t>HT01</t>
        </is>
      </c>
      <c r="B11" s="79" t="inlineStr">
        <is>
          <t>end unit</t>
        </is>
      </c>
      <c r="C11" s="79" t="inlineStr">
        <is>
          <t>FF</t>
        </is>
      </c>
      <c r="D11" s="79" t="inlineStr">
        <is>
          <t>Bedroom 2</t>
        </is>
      </c>
      <c r="E11" s="123" t="n">
        <v>12.56</v>
      </c>
      <c r="F11" s="123" t="n">
        <v>12.99</v>
      </c>
      <c r="G11" s="123" t="n">
        <v>12.99</v>
      </c>
    </row>
    <row r="12">
      <c r="A12" s="79" t="inlineStr">
        <is>
          <t>HT01</t>
        </is>
      </c>
      <c r="B12" s="79" t="inlineStr">
        <is>
          <t>end unit</t>
        </is>
      </c>
      <c r="C12" s="79" t="inlineStr">
        <is>
          <t>FF</t>
        </is>
      </c>
      <c r="D12" s="79" t="inlineStr">
        <is>
          <t>Bedroom 3</t>
        </is>
      </c>
      <c r="E12" s="123" t="n">
        <v>8.369999999999999</v>
      </c>
      <c r="F12" s="123" t="n">
        <v>8.67</v>
      </c>
      <c r="G12" s="123" t="n">
        <v>8.67</v>
      </c>
    </row>
    <row r="13">
      <c r="A13" s="79" t="inlineStr">
        <is>
          <t>HT01</t>
        </is>
      </c>
      <c r="B13" s="79" t="inlineStr">
        <is>
          <t>end unit</t>
        </is>
      </c>
      <c r="C13" s="79" t="inlineStr">
        <is>
          <t>FF</t>
        </is>
      </c>
      <c r="D13" s="79" t="inlineStr">
        <is>
          <t>Landing (incl. stair well)</t>
        </is>
      </c>
      <c r="E13" s="123" t="n"/>
      <c r="F13" s="123" t="n">
        <v>4.16</v>
      </c>
      <c r="G13" s="123" t="n">
        <v>6.92</v>
      </c>
    </row>
    <row r="14">
      <c r="A14" s="79" t="inlineStr">
        <is>
          <t>HT01</t>
        </is>
      </c>
      <c r="B14" s="79" t="inlineStr">
        <is>
          <t>end unit</t>
        </is>
      </c>
      <c r="C14" s="79" t="inlineStr">
        <is>
          <t>FF</t>
        </is>
      </c>
      <c r="D14" s="79" t="inlineStr">
        <is>
          <t>Bathroom</t>
        </is>
      </c>
      <c r="E14" s="123" t="n">
        <v>3.72</v>
      </c>
      <c r="F14" s="123" t="n">
        <v>3.89</v>
      </c>
      <c r="G14" s="123" t="n">
        <v>3.89</v>
      </c>
    </row>
    <row r="15">
      <c r="A15" s="79" t="inlineStr">
        <is>
          <t>HT01</t>
        </is>
      </c>
      <c r="B15" s="79" t="inlineStr">
        <is>
          <t>end unit</t>
        </is>
      </c>
      <c r="C15" s="79" t="inlineStr">
        <is>
          <t>FF</t>
        </is>
      </c>
      <c r="D15" s="79" t="inlineStr">
        <is>
          <t>Cupboard / store</t>
        </is>
      </c>
      <c r="E15" s="123" t="n"/>
      <c r="F15" s="123" t="n">
        <v>0.9</v>
      </c>
      <c r="G15" s="123" t="n">
        <v>0.9</v>
      </c>
    </row>
    <row r="16">
      <c r="A16" s="79" t="inlineStr">
        <is>
          <t>HT01</t>
        </is>
      </c>
      <c r="B16" s="79" t="inlineStr">
        <is>
          <t>end unit</t>
        </is>
      </c>
      <c r="C16" s="79" t="inlineStr">
        <is>
          <t>FF</t>
        </is>
      </c>
      <c r="D16" s="79" t="inlineStr">
        <is>
          <t>Cupboard / store</t>
        </is>
      </c>
      <c r="E16" s="123" t="n"/>
      <c r="F16" s="123" t="n">
        <v>0.74</v>
      </c>
      <c r="G16" s="123" t="n">
        <v>0.74</v>
      </c>
    </row>
    <row r="17">
      <c r="A17" s="79" t="inlineStr">
        <is>
          <t>HT01</t>
        </is>
      </c>
      <c r="B17" s="79" t="inlineStr">
        <is>
          <t>mid-terrace unit</t>
        </is>
      </c>
      <c r="C17" s="79" t="inlineStr">
        <is>
          <t>GF</t>
        </is>
      </c>
      <c r="D17" s="79" t="inlineStr">
        <is>
          <t>Living / kitchen / dining (open plan, incl. hall and stair)</t>
        </is>
      </c>
      <c r="E17" s="123" t="n"/>
      <c r="F17" s="123" t="n">
        <v>44.96</v>
      </c>
      <c r="G17" s="123" t="n">
        <v>44.96</v>
      </c>
    </row>
    <row r="18">
      <c r="A18" s="79" t="inlineStr">
        <is>
          <t>HT01</t>
        </is>
      </c>
      <c r="B18" s="79" t="inlineStr">
        <is>
          <t>mid-terrace unit</t>
        </is>
      </c>
      <c r="C18" s="79" t="inlineStr">
        <is>
          <t>GF</t>
        </is>
      </c>
      <c r="D18" s="79" t="inlineStr">
        <is>
          <t>WC</t>
        </is>
      </c>
      <c r="E18" s="123" t="n"/>
      <c r="F18" s="123" t="n">
        <v>2.22</v>
      </c>
      <c r="G18" s="123" t="n">
        <v>2.22</v>
      </c>
    </row>
    <row r="19">
      <c r="A19" s="79" t="inlineStr">
        <is>
          <t>HT01</t>
        </is>
      </c>
      <c r="B19" s="79" t="inlineStr">
        <is>
          <t>mid-terrace unit</t>
        </is>
      </c>
      <c r="C19" s="79" t="inlineStr">
        <is>
          <t>GF</t>
        </is>
      </c>
      <c r="D19" s="79" t="inlineStr">
        <is>
          <t>Under-stair store</t>
        </is>
      </c>
      <c r="E19" s="123" t="n"/>
      <c r="F19" s="123" t="n">
        <v>1.86</v>
      </c>
      <c r="G19" s="123" t="n">
        <v>1.86</v>
      </c>
    </row>
    <row r="20">
      <c r="A20" s="79" t="inlineStr">
        <is>
          <t>HT01</t>
        </is>
      </c>
      <c r="B20" s="79" t="inlineStr">
        <is>
          <t>mid-terrace unit</t>
        </is>
      </c>
      <c r="C20" s="79" t="inlineStr">
        <is>
          <t>FF</t>
        </is>
      </c>
      <c r="D20" s="79" t="inlineStr">
        <is>
          <t>Bedroom 1</t>
        </is>
      </c>
      <c r="E20" s="123" t="n">
        <v>12.65</v>
      </c>
      <c r="F20" s="123" t="n">
        <v>13.08</v>
      </c>
      <c r="G20" s="123" t="n">
        <v>13.08</v>
      </c>
    </row>
    <row r="21">
      <c r="A21" s="79" t="inlineStr">
        <is>
          <t>HT01</t>
        </is>
      </c>
      <c r="B21" s="79" t="inlineStr">
        <is>
          <t>mid-terrace unit</t>
        </is>
      </c>
      <c r="C21" s="79" t="inlineStr">
        <is>
          <t>FF</t>
        </is>
      </c>
      <c r="D21" s="79" t="inlineStr">
        <is>
          <t>Bedroom 2</t>
        </is>
      </c>
      <c r="E21" s="123" t="n">
        <v>12.56</v>
      </c>
      <c r="F21" s="123" t="n">
        <v>12.99</v>
      </c>
      <c r="G21" s="123" t="n">
        <v>12.99</v>
      </c>
    </row>
    <row r="22">
      <c r="A22" s="79" t="inlineStr">
        <is>
          <t>HT01</t>
        </is>
      </c>
      <c r="B22" s="79" t="inlineStr">
        <is>
          <t>mid-terrace unit</t>
        </is>
      </c>
      <c r="C22" s="79" t="inlineStr">
        <is>
          <t>FF</t>
        </is>
      </c>
      <c r="D22" s="79" t="inlineStr">
        <is>
          <t>Bedroom 3</t>
        </is>
      </c>
      <c r="E22" s="123" t="n">
        <v>8.369999999999999</v>
      </c>
      <c r="F22" s="123" t="n">
        <v>8.710000000000001</v>
      </c>
      <c r="G22" s="123" t="n">
        <v>8.710000000000001</v>
      </c>
    </row>
    <row r="23">
      <c r="A23" s="79" t="inlineStr">
        <is>
          <t>HT01</t>
        </is>
      </c>
      <c r="B23" s="79" t="inlineStr">
        <is>
          <t>mid-terrace unit</t>
        </is>
      </c>
      <c r="C23" s="79" t="inlineStr">
        <is>
          <t>FF</t>
        </is>
      </c>
      <c r="D23" s="79" t="inlineStr">
        <is>
          <t>Landing (incl. stair well)</t>
        </is>
      </c>
      <c r="E23" s="123" t="n"/>
      <c r="F23" s="123" t="n">
        <v>4.19</v>
      </c>
      <c r="G23" s="123" t="n">
        <v>6.95</v>
      </c>
    </row>
    <row r="24">
      <c r="A24" s="79" t="inlineStr">
        <is>
          <t>HT01</t>
        </is>
      </c>
      <c r="B24" s="79" t="inlineStr">
        <is>
          <t>mid-terrace unit</t>
        </is>
      </c>
      <c r="C24" s="79" t="inlineStr">
        <is>
          <t>FF</t>
        </is>
      </c>
      <c r="D24" s="79" t="inlineStr">
        <is>
          <t>Bathroom</t>
        </is>
      </c>
      <c r="E24" s="123" t="n">
        <v>3.72</v>
      </c>
      <c r="F24" s="123" t="n">
        <v>3.91</v>
      </c>
      <c r="G24" s="123" t="n">
        <v>3.91</v>
      </c>
    </row>
    <row r="25">
      <c r="A25" s="79" t="inlineStr">
        <is>
          <t>HT01</t>
        </is>
      </c>
      <c r="B25" s="79" t="inlineStr">
        <is>
          <t>mid-terrace unit</t>
        </is>
      </c>
      <c r="C25" s="79" t="inlineStr">
        <is>
          <t>FF</t>
        </is>
      </c>
      <c r="D25" s="79" t="inlineStr">
        <is>
          <t>Cupboard / store</t>
        </is>
      </c>
      <c r="E25" s="123" t="n"/>
      <c r="F25" s="123" t="n">
        <v>0.9</v>
      </c>
      <c r="G25" s="123" t="n">
        <v>0.9</v>
      </c>
    </row>
    <row r="26">
      <c r="A26" s="79" t="inlineStr">
        <is>
          <t>HT01</t>
        </is>
      </c>
      <c r="B26" s="79" t="inlineStr">
        <is>
          <t>mid-terrace unit</t>
        </is>
      </c>
      <c r="C26" s="79" t="inlineStr">
        <is>
          <t>FF</t>
        </is>
      </c>
      <c r="D26" s="79" t="inlineStr">
        <is>
          <t>Cupboard / store</t>
        </is>
      </c>
      <c r="E26" s="123" t="n"/>
      <c r="F26" s="123" t="n">
        <v>0.75</v>
      </c>
      <c r="G26" s="123" t="n">
        <v>0.75</v>
      </c>
    </row>
    <row r="27">
      <c r="A27" s="79" t="inlineStr">
        <is>
          <t>HT02</t>
        </is>
      </c>
      <c r="B27" s="79" t="inlineStr">
        <is>
          <t>detached</t>
        </is>
      </c>
      <c r="C27" s="79" t="inlineStr">
        <is>
          <t>GF</t>
        </is>
      </c>
      <c r="D27" s="79" t="inlineStr">
        <is>
          <t>Kitchen / dining / living (open plan, incl. entrance hall)</t>
        </is>
      </c>
      <c r="E27" s="123" t="n">
        <v>40.69</v>
      </c>
      <c r="F27" s="123" t="n">
        <v>41.4</v>
      </c>
      <c r="G27" s="123" t="n">
        <v>41.4</v>
      </c>
    </row>
    <row r="28">
      <c r="A28" s="79" t="inlineStr">
        <is>
          <t>HT02</t>
        </is>
      </c>
      <c r="B28" s="79" t="inlineStr">
        <is>
          <t>detached</t>
        </is>
      </c>
      <c r="C28" s="79" t="inlineStr">
        <is>
          <t>GF</t>
        </is>
      </c>
      <c r="D28" s="79" t="inlineStr">
        <is>
          <t>Bedroom 1</t>
        </is>
      </c>
      <c r="E28" s="123" t="n">
        <v>10.64</v>
      </c>
      <c r="F28" s="123" t="n">
        <v>10.86</v>
      </c>
      <c r="G28" s="123" t="n">
        <v>10.86</v>
      </c>
    </row>
    <row r="29">
      <c r="A29" s="79" t="inlineStr">
        <is>
          <t>HT02</t>
        </is>
      </c>
      <c r="B29" s="79" t="inlineStr">
        <is>
          <t>detached</t>
        </is>
      </c>
      <c r="C29" s="79" t="inlineStr">
        <is>
          <t>GF</t>
        </is>
      </c>
      <c r="D29" s="79" t="inlineStr">
        <is>
          <t>Bedroom 2</t>
        </is>
      </c>
      <c r="E29" s="123" t="n">
        <v>10.57</v>
      </c>
      <c r="F29" s="123" t="n">
        <v>10.79</v>
      </c>
      <c r="G29" s="123" t="n">
        <v>10.79</v>
      </c>
    </row>
    <row r="30">
      <c r="A30" s="79" t="inlineStr">
        <is>
          <t>HT02</t>
        </is>
      </c>
      <c r="B30" s="79" t="inlineStr">
        <is>
          <t>detached</t>
        </is>
      </c>
      <c r="C30" s="79" t="inlineStr">
        <is>
          <t>GF</t>
        </is>
      </c>
      <c r="D30" s="79" t="inlineStr">
        <is>
          <t>Bathroom</t>
        </is>
      </c>
      <c r="E30" s="123" t="n">
        <v>5.74</v>
      </c>
      <c r="F30" s="123" t="n">
        <v>5.81</v>
      </c>
      <c r="G30" s="123" t="n">
        <v>5.81</v>
      </c>
    </row>
    <row r="31">
      <c r="A31" s="79" t="inlineStr">
        <is>
          <t>HT02</t>
        </is>
      </c>
      <c r="B31" s="79" t="inlineStr">
        <is>
          <t>detached</t>
        </is>
      </c>
      <c r="C31" s="79" t="inlineStr">
        <is>
          <t>GF</t>
        </is>
      </c>
      <c r="D31" s="79" t="inlineStr">
        <is>
          <t>Storage</t>
        </is>
      </c>
      <c r="E31" s="123" t="n">
        <v>0.85</v>
      </c>
      <c r="F31" s="123" t="n">
        <v>0.85</v>
      </c>
      <c r="G31" s="123" t="n">
        <v>0.85</v>
      </c>
    </row>
    <row r="32">
      <c r="A32" s="79" t="inlineStr">
        <is>
          <t>HT02</t>
        </is>
      </c>
      <c r="B32" s="79" t="inlineStr">
        <is>
          <t>detached</t>
        </is>
      </c>
      <c r="C32" s="79" t="inlineStr">
        <is>
          <t>GF</t>
        </is>
      </c>
      <c r="D32" s="79" t="inlineStr">
        <is>
          <t>Storage</t>
        </is>
      </c>
      <c r="E32" s="123" t="n">
        <v>0.74</v>
      </c>
      <c r="F32" s="123" t="n">
        <v>0.72</v>
      </c>
      <c r="G32" s="123" t="n">
        <v>0.72</v>
      </c>
    </row>
    <row r="33">
      <c r="A33" s="79" t="inlineStr">
        <is>
          <t>HT02</t>
        </is>
      </c>
      <c r="B33" s="79" t="inlineStr">
        <is>
          <t>detached</t>
        </is>
      </c>
      <c r="C33" s="79" t="inlineStr">
        <is>
          <t>GF</t>
        </is>
      </c>
      <c r="D33" s="79" t="inlineStr">
        <is>
          <t>Storage</t>
        </is>
      </c>
      <c r="E33" s="123" t="n">
        <v>0.7</v>
      </c>
      <c r="F33" s="123" t="n">
        <v>0.7</v>
      </c>
      <c r="G33" s="123" t="n">
        <v>0.7</v>
      </c>
    </row>
    <row r="34">
      <c r="D34" s="124" t="inlineStr">
        <is>
          <t>Drawn GIFA: HT01 96.5 m2, HT02 72.5 m2 (gross internal incl. walls); floor areas exclude the stair well.</t>
        </is>
      </c>
    </row>
  </sheetData>
  <sheetProtection selectLockedCells="0" selectUnlockedCells="0" sheet="1" objects="0" insertRows="1" insertHyperlinks="1" autoFilter="1" scenarios="0" formatColumns="0" deleteColumns="1" insertColumns="1" pivotTables="1" deleteRows="1" formatCells="1" formatRows="0" sort="1"/>
  <mergeCells count="3">
    <mergeCell ref="C2:G2"/>
    <mergeCell ref="C1:G1"/>
    <mergeCell ref="A4:G4"/>
  </mergeCells>
  <printOptions horizontalCentered="1"/>
  <pageMargins left="0.75" right="0.75" top="0.7" bottom="0.75" header="0.5" footer="0.5"/>
  <pageSetup orientation="portrait" paperSize="9" fitToHeight="0" fitToWidth="1"/>
  <headerFooter>
    <oddHeader>&amp;L&amp;8 BuildEase  |  ES26-080 Land to Rear of 1-8 Wesley Terrace, Castleside  |  Wannop Developments Ltd&amp;R&amp;8 Bill of Quantities Package - Finishes &amp;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19.xml><?xml version="1.0" encoding="utf-8"?>
<worksheet xmlns="http://schemas.openxmlformats.org/spreadsheetml/2006/main">
  <sheetPr>
    <outlinePr summaryBelow="1" summaryRight="1"/>
    <pageSetUpPr fitToPage="1"/>
  </sheetPr>
  <dimension ref="A1:J55"/>
  <sheetViews>
    <sheetView showGridLines="0" workbookViewId="0">
      <pane ySplit="6" topLeftCell="A7" activePane="bottomLeft" state="frozen"/>
      <selection pane="bottomLeft" activeCell="A1" sqref="A1"/>
    </sheetView>
  </sheetViews>
  <sheetFormatPr baseColWidth="8" defaultRowHeight="15"/>
  <cols>
    <col width="11" customWidth="1" min="1" max="1"/>
    <col width="13" customWidth="1" min="2" max="2"/>
    <col width="6" customWidth="1" min="3" max="3"/>
    <col width="8" customWidth="1" min="4" max="4"/>
    <col width="8" customWidth="1" min="5" max="5"/>
    <col width="8" customWidth="1" min="6" max="6"/>
    <col width="8" customWidth="1" min="7" max="7"/>
    <col width="9" customWidth="1" min="8" max="8"/>
    <col width="9" customWidth="1" min="9" max="9"/>
    <col width="40" customWidth="1" min="10" max="10"/>
  </cols>
  <sheetData>
    <row r="1" ht="22" customHeight="1">
      <c r="C1" s="70" t="inlineStr">
        <is>
          <t>Schedule B - Structural Opening Schedule (per block type)</t>
        </is>
      </c>
    </row>
    <row r="2" ht="18" customHeight="1">
      <c r="C2" s="71" t="inlineStr">
        <is>
          <t>From the type specs. Sill and head from FFL 0. Not priced.</t>
        </is>
      </c>
    </row>
    <row r="3" ht="4" customHeight="1">
      <c r="A3" s="72" t="n"/>
      <c r="B3" s="72" t="n"/>
      <c r="C3" s="72" t="n"/>
      <c r="D3" s="72" t="n"/>
      <c r="E3" s="72" t="n"/>
      <c r="F3" s="72" t="n"/>
      <c r="G3" s="72" t="n"/>
      <c r="H3" s="72" t="n"/>
      <c r="I3" s="72" t="n"/>
      <c r="J3" s="72" t="n"/>
    </row>
    <row r="4" ht="48"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6" ht="30" customHeight="1">
      <c r="A6" s="78" t="inlineStr">
        <is>
          <t>Block type</t>
        </is>
      </c>
      <c r="B6" s="78" t="inlineStr">
        <is>
          <t>Ref</t>
        </is>
      </c>
      <c r="C6" s="78" t="inlineStr">
        <is>
          <t>Level</t>
        </is>
      </c>
      <c r="D6" s="78" t="inlineStr">
        <is>
          <t>Face</t>
        </is>
      </c>
      <c r="E6" s="78" t="inlineStr">
        <is>
          <t>Type</t>
        </is>
      </c>
      <c r="F6" s="78" t="inlineStr">
        <is>
          <t>W mm</t>
        </is>
      </c>
      <c r="G6" s="78" t="inlineStr">
        <is>
          <t>H mm</t>
        </is>
      </c>
      <c r="H6" s="78" t="inlineStr">
        <is>
          <t>Sill mm</t>
        </is>
      </c>
      <c r="I6" s="78" t="inlineStr">
        <is>
          <t>Head mm</t>
        </is>
      </c>
      <c r="J6" s="78" t="inlineStr">
        <is>
          <t>Note</t>
        </is>
      </c>
    </row>
    <row r="7">
      <c r="A7" s="85" t="inlineStr">
        <is>
          <t>T01_SEMI</t>
        </is>
      </c>
      <c r="B7" s="85" t="inlineStr">
        <is>
          <t>U1-L1-F01</t>
        </is>
      </c>
      <c r="C7" s="85" t="inlineStr">
        <is>
          <t>GF</t>
        </is>
      </c>
      <c r="D7" s="85" t="inlineStr">
        <is>
          <t>Front</t>
        </is>
      </c>
      <c r="E7" s="85" t="inlineStr">
        <is>
          <t>window</t>
        </is>
      </c>
      <c r="F7" s="85" t="n">
        <v>510</v>
      </c>
      <c r="G7" s="85" t="n">
        <v>1050</v>
      </c>
      <c r="H7" s="85" t="n">
        <v>1050</v>
      </c>
      <c r="I7" s="85" t="n">
        <v>2100</v>
      </c>
      <c r="J7" s="85" t="inlineStr">
        <is>
          <t>GF WC window</t>
        </is>
      </c>
    </row>
    <row r="8">
      <c r="A8" s="85" t="inlineStr">
        <is>
          <t>T01_SEMI</t>
        </is>
      </c>
      <c r="B8" s="85" t="inlineStr">
        <is>
          <t>U1-L1-F02</t>
        </is>
      </c>
      <c r="C8" s="85" t="inlineStr">
        <is>
          <t>GF</t>
        </is>
      </c>
      <c r="D8" s="85" t="inlineStr">
        <is>
          <t>Front</t>
        </is>
      </c>
      <c r="E8" s="85" t="inlineStr">
        <is>
          <t>door</t>
        </is>
      </c>
      <c r="F8" s="85" t="n">
        <v>1110</v>
      </c>
      <c r="G8" s="85" t="n">
        <v>2100</v>
      </c>
      <c r="H8" s="85" t="n">
        <v>0</v>
      </c>
      <c r="I8" s="85" t="n">
        <v>2100</v>
      </c>
      <c r="J8" s="85" t="inlineStr">
        <is>
          <t>GF front entrance door</t>
        </is>
      </c>
    </row>
    <row r="9">
      <c r="A9" s="85" t="inlineStr">
        <is>
          <t>T01_SEMI</t>
        </is>
      </c>
      <c r="B9" s="85" t="inlineStr">
        <is>
          <t>U1-L1-F03</t>
        </is>
      </c>
      <c r="C9" s="85" t="inlineStr">
        <is>
          <t>GF</t>
        </is>
      </c>
      <c r="D9" s="85" t="inlineStr">
        <is>
          <t>Front</t>
        </is>
      </c>
      <c r="E9" s="85" t="inlineStr">
        <is>
          <t>window</t>
        </is>
      </c>
      <c r="F9" s="85" t="n">
        <v>1710</v>
      </c>
      <c r="G9" s="85" t="n">
        <v>1050</v>
      </c>
      <c r="H9" s="85" t="n">
        <v>1050</v>
      </c>
      <c r="I9" s="85" t="n">
        <v>2100</v>
      </c>
      <c r="J9" s="85" t="inlineStr">
        <is>
          <t>GF living window (3-light)</t>
        </is>
      </c>
    </row>
    <row r="10">
      <c r="A10" s="85" t="inlineStr">
        <is>
          <t>T01_SEMI</t>
        </is>
      </c>
      <c r="B10" s="85" t="inlineStr">
        <is>
          <t>U1-L1-R04</t>
        </is>
      </c>
      <c r="C10" s="85" t="inlineStr">
        <is>
          <t>GF</t>
        </is>
      </c>
      <c r="D10" s="85" t="inlineStr">
        <is>
          <t>Rear</t>
        </is>
      </c>
      <c r="E10" s="85" t="inlineStr">
        <is>
          <t>door</t>
        </is>
      </c>
      <c r="F10" s="85" t="n">
        <v>2610</v>
      </c>
      <c r="G10" s="85" t="n">
        <v>2100</v>
      </c>
      <c r="H10" s="85" t="n">
        <v>0</v>
      </c>
      <c r="I10" s="85" t="n">
        <v>2100</v>
      </c>
      <c r="J10" s="85" t="inlineStr">
        <is>
          <t>GF kitchen/dining bifold (3-leaf)</t>
        </is>
      </c>
    </row>
    <row r="11">
      <c r="A11" s="85" t="inlineStr">
        <is>
          <t>T01_SEMI</t>
        </is>
      </c>
      <c r="B11" s="85" t="inlineStr">
        <is>
          <t>U1-L2-F05</t>
        </is>
      </c>
      <c r="C11" s="85" t="inlineStr">
        <is>
          <t>FF</t>
        </is>
      </c>
      <c r="D11" s="85" t="inlineStr">
        <is>
          <t>Front</t>
        </is>
      </c>
      <c r="E11" s="85" t="inlineStr">
        <is>
          <t>window</t>
        </is>
      </c>
      <c r="F11" s="85" t="n">
        <v>1110</v>
      </c>
      <c r="G11" s="85" t="n">
        <v>1050</v>
      </c>
      <c r="H11" s="85" t="n">
        <v>3750</v>
      </c>
      <c r="I11" s="85" t="n">
        <v>4800</v>
      </c>
      <c r="J11" s="85" t="inlineStr">
        <is>
          <t>FF bathroom window</t>
        </is>
      </c>
    </row>
    <row r="12">
      <c r="A12" s="85" t="inlineStr">
        <is>
          <t>T01_SEMI</t>
        </is>
      </c>
      <c r="B12" s="85" t="inlineStr">
        <is>
          <t>U1-L2-F06</t>
        </is>
      </c>
      <c r="C12" s="85" t="inlineStr">
        <is>
          <t>FF</t>
        </is>
      </c>
      <c r="D12" s="85" t="inlineStr">
        <is>
          <t>Front</t>
        </is>
      </c>
      <c r="E12" s="85" t="inlineStr">
        <is>
          <t>window</t>
        </is>
      </c>
      <c r="F12" s="85" t="n">
        <v>1710</v>
      </c>
      <c r="G12" s="85" t="n">
        <v>1200</v>
      </c>
      <c r="H12" s="85" t="n">
        <v>3600</v>
      </c>
      <c r="I12" s="85" t="n">
        <v>4800</v>
      </c>
      <c r="J12" s="85" t="inlineStr">
        <is>
          <t>FF bedroom 1 window (3-light)</t>
        </is>
      </c>
    </row>
    <row r="13">
      <c r="A13" s="85" t="inlineStr">
        <is>
          <t>T01_SEMI</t>
        </is>
      </c>
      <c r="B13" s="85" t="inlineStr">
        <is>
          <t>U1-L2-R07</t>
        </is>
      </c>
      <c r="C13" s="85" t="inlineStr">
        <is>
          <t>FF</t>
        </is>
      </c>
      <c r="D13" s="85" t="inlineStr">
        <is>
          <t>Rear</t>
        </is>
      </c>
      <c r="E13" s="85" t="inlineStr">
        <is>
          <t>window</t>
        </is>
      </c>
      <c r="F13" s="85" t="n">
        <v>1110</v>
      </c>
      <c r="G13" s="85" t="n">
        <v>1200</v>
      </c>
      <c r="H13" s="85" t="n">
        <v>3600</v>
      </c>
      <c r="I13" s="85" t="n">
        <v>4800</v>
      </c>
      <c r="J13" s="85" t="inlineStr">
        <is>
          <t>FF bedroom 3 window</t>
        </is>
      </c>
    </row>
    <row r="14">
      <c r="A14" s="85" t="inlineStr">
        <is>
          <t>T01_SEMI</t>
        </is>
      </c>
      <c r="B14" s="85" t="inlineStr">
        <is>
          <t>U1-L2-R08</t>
        </is>
      </c>
      <c r="C14" s="85" t="inlineStr">
        <is>
          <t>FF</t>
        </is>
      </c>
      <c r="D14" s="85" t="inlineStr">
        <is>
          <t>Rear</t>
        </is>
      </c>
      <c r="E14" s="85" t="inlineStr">
        <is>
          <t>window</t>
        </is>
      </c>
      <c r="F14" s="85" t="n">
        <v>1110</v>
      </c>
      <c r="G14" s="85" t="n">
        <v>1200</v>
      </c>
      <c r="H14" s="85" t="n">
        <v>3600</v>
      </c>
      <c r="I14" s="85" t="n">
        <v>4800</v>
      </c>
      <c r="J14" s="85" t="inlineStr">
        <is>
          <t>FF bedroom 2 window</t>
        </is>
      </c>
    </row>
    <row r="15">
      <c r="A15" s="85" t="inlineStr">
        <is>
          <t>T01_SEMI</t>
        </is>
      </c>
      <c r="B15" s="85" t="inlineStr">
        <is>
          <t>U2-L1-F01</t>
        </is>
      </c>
      <c r="C15" s="85" t="inlineStr">
        <is>
          <t>GF</t>
        </is>
      </c>
      <c r="D15" s="85" t="inlineStr">
        <is>
          <t>Front</t>
        </is>
      </c>
      <c r="E15" s="85" t="inlineStr">
        <is>
          <t>window</t>
        </is>
      </c>
      <c r="F15" s="85" t="n">
        <v>510</v>
      </c>
      <c r="G15" s="85" t="n">
        <v>1050</v>
      </c>
      <c r="H15" s="85" t="n">
        <v>1050</v>
      </c>
      <c r="I15" s="85" t="n">
        <v>2100</v>
      </c>
      <c r="J15" s="85" t="inlineStr">
        <is>
          <t>GF WC window</t>
        </is>
      </c>
    </row>
    <row r="16">
      <c r="A16" s="85" t="inlineStr">
        <is>
          <t>T01_SEMI</t>
        </is>
      </c>
      <c r="B16" s="85" t="inlineStr">
        <is>
          <t>U2-L1-F02</t>
        </is>
      </c>
      <c r="C16" s="85" t="inlineStr">
        <is>
          <t>GF</t>
        </is>
      </c>
      <c r="D16" s="85" t="inlineStr">
        <is>
          <t>Front</t>
        </is>
      </c>
      <c r="E16" s="85" t="inlineStr">
        <is>
          <t>door</t>
        </is>
      </c>
      <c r="F16" s="85" t="n">
        <v>1110</v>
      </c>
      <c r="G16" s="85" t="n">
        <v>2100</v>
      </c>
      <c r="H16" s="85" t="n">
        <v>0</v>
      </c>
      <c r="I16" s="85" t="n">
        <v>2100</v>
      </c>
      <c r="J16" s="85" t="inlineStr">
        <is>
          <t>GF front entrance door</t>
        </is>
      </c>
    </row>
    <row r="17">
      <c r="A17" s="85" t="inlineStr">
        <is>
          <t>T01_SEMI</t>
        </is>
      </c>
      <c r="B17" s="85" t="inlineStr">
        <is>
          <t>U2-L1-F03</t>
        </is>
      </c>
      <c r="C17" s="85" t="inlineStr">
        <is>
          <t>GF</t>
        </is>
      </c>
      <c r="D17" s="85" t="inlineStr">
        <is>
          <t>Front</t>
        </is>
      </c>
      <c r="E17" s="85" t="inlineStr">
        <is>
          <t>window</t>
        </is>
      </c>
      <c r="F17" s="85" t="n">
        <v>1710</v>
      </c>
      <c r="G17" s="85" t="n">
        <v>1050</v>
      </c>
      <c r="H17" s="85" t="n">
        <v>1050</v>
      </c>
      <c r="I17" s="85" t="n">
        <v>2100</v>
      </c>
      <c r="J17" s="85" t="inlineStr">
        <is>
          <t>GF living window (3-light)</t>
        </is>
      </c>
    </row>
    <row r="18">
      <c r="A18" s="85" t="inlineStr">
        <is>
          <t>T01_SEMI</t>
        </is>
      </c>
      <c r="B18" s="85" t="inlineStr">
        <is>
          <t>U2-L1-R04</t>
        </is>
      </c>
      <c r="C18" s="85" t="inlineStr">
        <is>
          <t>GF</t>
        </is>
      </c>
      <c r="D18" s="85" t="inlineStr">
        <is>
          <t>Rear</t>
        </is>
      </c>
      <c r="E18" s="85" t="inlineStr">
        <is>
          <t>door</t>
        </is>
      </c>
      <c r="F18" s="85" t="n">
        <v>2610</v>
      </c>
      <c r="G18" s="85" t="n">
        <v>2100</v>
      </c>
      <c r="H18" s="85" t="n">
        <v>0</v>
      </c>
      <c r="I18" s="85" t="n">
        <v>2100</v>
      </c>
      <c r="J18" s="85" t="inlineStr">
        <is>
          <t>GF kitchen/dining bifold (3-leaf)</t>
        </is>
      </c>
    </row>
    <row r="19">
      <c r="A19" s="85" t="inlineStr">
        <is>
          <t>T01_SEMI</t>
        </is>
      </c>
      <c r="B19" s="85" t="inlineStr">
        <is>
          <t>U2-L2-F05</t>
        </is>
      </c>
      <c r="C19" s="85" t="inlineStr">
        <is>
          <t>FF</t>
        </is>
      </c>
      <c r="D19" s="85" t="inlineStr">
        <is>
          <t>Front</t>
        </is>
      </c>
      <c r="E19" s="85" t="inlineStr">
        <is>
          <t>window</t>
        </is>
      </c>
      <c r="F19" s="85" t="n">
        <v>1110</v>
      </c>
      <c r="G19" s="85" t="n">
        <v>1050</v>
      </c>
      <c r="H19" s="85" t="n">
        <v>3750</v>
      </c>
      <c r="I19" s="85" t="n">
        <v>4800</v>
      </c>
      <c r="J19" s="85" t="inlineStr">
        <is>
          <t>FF bathroom window</t>
        </is>
      </c>
    </row>
    <row r="20">
      <c r="A20" s="85" t="inlineStr">
        <is>
          <t>T01_SEMI</t>
        </is>
      </c>
      <c r="B20" s="85" t="inlineStr">
        <is>
          <t>U2-L2-F06</t>
        </is>
      </c>
      <c r="C20" s="85" t="inlineStr">
        <is>
          <t>FF</t>
        </is>
      </c>
      <c r="D20" s="85" t="inlineStr">
        <is>
          <t>Front</t>
        </is>
      </c>
      <c r="E20" s="85" t="inlineStr">
        <is>
          <t>window</t>
        </is>
      </c>
      <c r="F20" s="85" t="n">
        <v>1710</v>
      </c>
      <c r="G20" s="85" t="n">
        <v>1200</v>
      </c>
      <c r="H20" s="85" t="n">
        <v>3600</v>
      </c>
      <c r="I20" s="85" t="n">
        <v>4800</v>
      </c>
      <c r="J20" s="85" t="inlineStr">
        <is>
          <t>FF bedroom 1 window (3-light)</t>
        </is>
      </c>
    </row>
    <row r="21">
      <c r="A21" s="85" t="inlineStr">
        <is>
          <t>T01_SEMI</t>
        </is>
      </c>
      <c r="B21" s="85" t="inlineStr">
        <is>
          <t>U2-L2-R07</t>
        </is>
      </c>
      <c r="C21" s="85" t="inlineStr">
        <is>
          <t>FF</t>
        </is>
      </c>
      <c r="D21" s="85" t="inlineStr">
        <is>
          <t>Rear</t>
        </is>
      </c>
      <c r="E21" s="85" t="inlineStr">
        <is>
          <t>window</t>
        </is>
      </c>
      <c r="F21" s="85" t="n">
        <v>1110</v>
      </c>
      <c r="G21" s="85" t="n">
        <v>1200</v>
      </c>
      <c r="H21" s="85" t="n">
        <v>3600</v>
      </c>
      <c r="I21" s="85" t="n">
        <v>4800</v>
      </c>
      <c r="J21" s="85" t="inlineStr">
        <is>
          <t>FF bedroom 3 window</t>
        </is>
      </c>
    </row>
    <row r="22">
      <c r="A22" s="85" t="inlineStr">
        <is>
          <t>T01_SEMI</t>
        </is>
      </c>
      <c r="B22" s="85" t="inlineStr">
        <is>
          <t>U2-L2-R08</t>
        </is>
      </c>
      <c r="C22" s="85" t="inlineStr">
        <is>
          <t>FF</t>
        </is>
      </c>
      <c r="D22" s="85" t="inlineStr">
        <is>
          <t>Rear</t>
        </is>
      </c>
      <c r="E22" s="85" t="inlineStr">
        <is>
          <t>window</t>
        </is>
      </c>
      <c r="F22" s="85" t="n">
        <v>1110</v>
      </c>
      <c r="G22" s="85" t="n">
        <v>1200</v>
      </c>
      <c r="H22" s="85" t="n">
        <v>3600</v>
      </c>
      <c r="I22" s="85" t="n">
        <v>4800</v>
      </c>
      <c r="J22" s="85" t="inlineStr">
        <is>
          <t>FF bedroom 2 window</t>
        </is>
      </c>
    </row>
    <row r="23">
      <c r="A23" s="85" t="inlineStr">
        <is>
          <t>T01_TER3</t>
        </is>
      </c>
      <c r="B23" s="85" t="inlineStr">
        <is>
          <t>U1-L1-F01</t>
        </is>
      </c>
      <c r="C23" s="85" t="inlineStr">
        <is>
          <t>GF</t>
        </is>
      </c>
      <c r="D23" s="85" t="inlineStr">
        <is>
          <t>Front</t>
        </is>
      </c>
      <c r="E23" s="85" t="inlineStr">
        <is>
          <t>window</t>
        </is>
      </c>
      <c r="F23" s="85" t="n">
        <v>510</v>
      </c>
      <c r="G23" s="85" t="n">
        <v>1050</v>
      </c>
      <c r="H23" s="85" t="n">
        <v>1050</v>
      </c>
      <c r="I23" s="85" t="n">
        <v>2100</v>
      </c>
      <c r="J23" s="85" t="inlineStr">
        <is>
          <t>GF WC window</t>
        </is>
      </c>
    </row>
    <row r="24">
      <c r="A24" s="85" t="inlineStr">
        <is>
          <t>T01_TER3</t>
        </is>
      </c>
      <c r="B24" s="85" t="inlineStr">
        <is>
          <t>U1-L1-F02</t>
        </is>
      </c>
      <c r="C24" s="85" t="inlineStr">
        <is>
          <t>GF</t>
        </is>
      </c>
      <c r="D24" s="85" t="inlineStr">
        <is>
          <t>Front</t>
        </is>
      </c>
      <c r="E24" s="85" t="inlineStr">
        <is>
          <t>door</t>
        </is>
      </c>
      <c r="F24" s="85" t="n">
        <v>1110</v>
      </c>
      <c r="G24" s="85" t="n">
        <v>2100</v>
      </c>
      <c r="H24" s="85" t="n">
        <v>0</v>
      </c>
      <c r="I24" s="85" t="n">
        <v>2100</v>
      </c>
      <c r="J24" s="85" t="inlineStr">
        <is>
          <t>GF front entrance door</t>
        </is>
      </c>
    </row>
    <row r="25">
      <c r="A25" s="85" t="inlineStr">
        <is>
          <t>T01_TER3</t>
        </is>
      </c>
      <c r="B25" s="85" t="inlineStr">
        <is>
          <t>U1-L1-F03</t>
        </is>
      </c>
      <c r="C25" s="85" t="inlineStr">
        <is>
          <t>GF</t>
        </is>
      </c>
      <c r="D25" s="85" t="inlineStr">
        <is>
          <t>Front</t>
        </is>
      </c>
      <c r="E25" s="85" t="inlineStr">
        <is>
          <t>window</t>
        </is>
      </c>
      <c r="F25" s="85" t="n">
        <v>1710</v>
      </c>
      <c r="G25" s="85" t="n">
        <v>1050</v>
      </c>
      <c r="H25" s="85" t="n">
        <v>1050</v>
      </c>
      <c r="I25" s="85" t="n">
        <v>2100</v>
      </c>
      <c r="J25" s="85" t="inlineStr">
        <is>
          <t>GF living window (3-light)</t>
        </is>
      </c>
    </row>
    <row r="26">
      <c r="A26" s="85" t="inlineStr">
        <is>
          <t>T01_TER3</t>
        </is>
      </c>
      <c r="B26" s="85" t="inlineStr">
        <is>
          <t>U1-L1-R04</t>
        </is>
      </c>
      <c r="C26" s="85" t="inlineStr">
        <is>
          <t>GF</t>
        </is>
      </c>
      <c r="D26" s="85" t="inlineStr">
        <is>
          <t>Rear</t>
        </is>
      </c>
      <c r="E26" s="85" t="inlineStr">
        <is>
          <t>door</t>
        </is>
      </c>
      <c r="F26" s="85" t="n">
        <v>2610</v>
      </c>
      <c r="G26" s="85" t="n">
        <v>2100</v>
      </c>
      <c r="H26" s="85" t="n">
        <v>0</v>
      </c>
      <c r="I26" s="85" t="n">
        <v>2100</v>
      </c>
      <c r="J26" s="85" t="inlineStr">
        <is>
          <t>GF kitchen/dining bifold (3-leaf)</t>
        </is>
      </c>
    </row>
    <row r="27">
      <c r="A27" s="85" t="inlineStr">
        <is>
          <t>T01_TER3</t>
        </is>
      </c>
      <c r="B27" s="85" t="inlineStr">
        <is>
          <t>U1-L2-F05</t>
        </is>
      </c>
      <c r="C27" s="85" t="inlineStr">
        <is>
          <t>FF</t>
        </is>
      </c>
      <c r="D27" s="85" t="inlineStr">
        <is>
          <t>Front</t>
        </is>
      </c>
      <c r="E27" s="85" t="inlineStr">
        <is>
          <t>window</t>
        </is>
      </c>
      <c r="F27" s="85" t="n">
        <v>1110</v>
      </c>
      <c r="G27" s="85" t="n">
        <v>1050</v>
      </c>
      <c r="H27" s="85" t="n">
        <v>3750</v>
      </c>
      <c r="I27" s="85" t="n">
        <v>4800</v>
      </c>
      <c r="J27" s="85" t="inlineStr">
        <is>
          <t>FF bathroom window</t>
        </is>
      </c>
    </row>
    <row r="28">
      <c r="A28" s="85" t="inlineStr">
        <is>
          <t>T01_TER3</t>
        </is>
      </c>
      <c r="B28" s="85" t="inlineStr">
        <is>
          <t>U1-L2-F06</t>
        </is>
      </c>
      <c r="C28" s="85" t="inlineStr">
        <is>
          <t>FF</t>
        </is>
      </c>
      <c r="D28" s="85" t="inlineStr">
        <is>
          <t>Front</t>
        </is>
      </c>
      <c r="E28" s="85" t="inlineStr">
        <is>
          <t>window</t>
        </is>
      </c>
      <c r="F28" s="85" t="n">
        <v>1710</v>
      </c>
      <c r="G28" s="85" t="n">
        <v>1200</v>
      </c>
      <c r="H28" s="85" t="n">
        <v>3600</v>
      </c>
      <c r="I28" s="85" t="n">
        <v>4800</v>
      </c>
      <c r="J28" s="85" t="inlineStr">
        <is>
          <t>FF bedroom 1 window (3-light)</t>
        </is>
      </c>
    </row>
    <row r="29">
      <c r="A29" s="85" t="inlineStr">
        <is>
          <t>T01_TER3</t>
        </is>
      </c>
      <c r="B29" s="85" t="inlineStr">
        <is>
          <t>U1-L2-R07</t>
        </is>
      </c>
      <c r="C29" s="85" t="inlineStr">
        <is>
          <t>FF</t>
        </is>
      </c>
      <c r="D29" s="85" t="inlineStr">
        <is>
          <t>Rear</t>
        </is>
      </c>
      <c r="E29" s="85" t="inlineStr">
        <is>
          <t>window</t>
        </is>
      </c>
      <c r="F29" s="85" t="n">
        <v>1110</v>
      </c>
      <c r="G29" s="85" t="n">
        <v>1200</v>
      </c>
      <c r="H29" s="85" t="n">
        <v>3600</v>
      </c>
      <c r="I29" s="85" t="n">
        <v>4800</v>
      </c>
      <c r="J29" s="85" t="inlineStr">
        <is>
          <t>FF bedroom 3 window</t>
        </is>
      </c>
    </row>
    <row r="30">
      <c r="A30" s="85" t="inlineStr">
        <is>
          <t>T01_TER3</t>
        </is>
      </c>
      <c r="B30" s="85" t="inlineStr">
        <is>
          <t>U1-L2-R08</t>
        </is>
      </c>
      <c r="C30" s="85" t="inlineStr">
        <is>
          <t>FF</t>
        </is>
      </c>
      <c r="D30" s="85" t="inlineStr">
        <is>
          <t>Rear</t>
        </is>
      </c>
      <c r="E30" s="85" t="inlineStr">
        <is>
          <t>window</t>
        </is>
      </c>
      <c r="F30" s="85" t="n">
        <v>1110</v>
      </c>
      <c r="G30" s="85" t="n">
        <v>1200</v>
      </c>
      <c r="H30" s="85" t="n">
        <v>3600</v>
      </c>
      <c r="I30" s="85" t="n">
        <v>4800</v>
      </c>
      <c r="J30" s="85" t="inlineStr">
        <is>
          <t>FF bedroom 2 window</t>
        </is>
      </c>
    </row>
    <row r="31">
      <c r="A31" s="85" t="inlineStr">
        <is>
          <t>T01_TER3</t>
        </is>
      </c>
      <c r="B31" s="85" t="inlineStr">
        <is>
          <t>U2-L1-F01</t>
        </is>
      </c>
      <c r="C31" s="85" t="inlineStr">
        <is>
          <t>GF</t>
        </is>
      </c>
      <c r="D31" s="85" t="inlineStr">
        <is>
          <t>Front</t>
        </is>
      </c>
      <c r="E31" s="85" t="inlineStr">
        <is>
          <t>window</t>
        </is>
      </c>
      <c r="F31" s="85" t="n">
        <v>510</v>
      </c>
      <c r="G31" s="85" t="n">
        <v>1050</v>
      </c>
      <c r="H31" s="85" t="n">
        <v>1050</v>
      </c>
      <c r="I31" s="85" t="n">
        <v>2100</v>
      </c>
      <c r="J31" s="85" t="inlineStr">
        <is>
          <t>GF WC window</t>
        </is>
      </c>
    </row>
    <row r="32">
      <c r="A32" s="85" t="inlineStr">
        <is>
          <t>T01_TER3</t>
        </is>
      </c>
      <c r="B32" s="85" t="inlineStr">
        <is>
          <t>U2-L1-F02</t>
        </is>
      </c>
      <c r="C32" s="85" t="inlineStr">
        <is>
          <t>GF</t>
        </is>
      </c>
      <c r="D32" s="85" t="inlineStr">
        <is>
          <t>Front</t>
        </is>
      </c>
      <c r="E32" s="85" t="inlineStr">
        <is>
          <t>door</t>
        </is>
      </c>
      <c r="F32" s="85" t="n">
        <v>1110</v>
      </c>
      <c r="G32" s="85" t="n">
        <v>2100</v>
      </c>
      <c r="H32" s="85" t="n">
        <v>0</v>
      </c>
      <c r="I32" s="85" t="n">
        <v>2100</v>
      </c>
      <c r="J32" s="85" t="inlineStr">
        <is>
          <t>GF front entrance door</t>
        </is>
      </c>
    </row>
    <row r="33">
      <c r="A33" s="85" t="inlineStr">
        <is>
          <t>T01_TER3</t>
        </is>
      </c>
      <c r="B33" s="85" t="inlineStr">
        <is>
          <t>U2-L1-F03</t>
        </is>
      </c>
      <c r="C33" s="85" t="inlineStr">
        <is>
          <t>GF</t>
        </is>
      </c>
      <c r="D33" s="85" t="inlineStr">
        <is>
          <t>Front</t>
        </is>
      </c>
      <c r="E33" s="85" t="inlineStr">
        <is>
          <t>window</t>
        </is>
      </c>
      <c r="F33" s="85" t="n">
        <v>1710</v>
      </c>
      <c r="G33" s="85" t="n">
        <v>1050</v>
      </c>
      <c r="H33" s="85" t="n">
        <v>1050</v>
      </c>
      <c r="I33" s="85" t="n">
        <v>2100</v>
      </c>
      <c r="J33" s="85" t="inlineStr">
        <is>
          <t>GF living window (3-light)</t>
        </is>
      </c>
    </row>
    <row r="34">
      <c r="A34" s="85" t="inlineStr">
        <is>
          <t>T01_TER3</t>
        </is>
      </c>
      <c r="B34" s="85" t="inlineStr">
        <is>
          <t>U2-L1-R04</t>
        </is>
      </c>
      <c r="C34" s="85" t="inlineStr">
        <is>
          <t>GF</t>
        </is>
      </c>
      <c r="D34" s="85" t="inlineStr">
        <is>
          <t>Rear</t>
        </is>
      </c>
      <c r="E34" s="85" t="inlineStr">
        <is>
          <t>door</t>
        </is>
      </c>
      <c r="F34" s="85" t="n">
        <v>2610</v>
      </c>
      <c r="G34" s="85" t="n">
        <v>2100</v>
      </c>
      <c r="H34" s="85" t="n">
        <v>0</v>
      </c>
      <c r="I34" s="85" t="n">
        <v>2100</v>
      </c>
      <c r="J34" s="85" t="inlineStr">
        <is>
          <t>GF kitchen/dining bifold (3-leaf)</t>
        </is>
      </c>
    </row>
    <row r="35">
      <c r="A35" s="85" t="inlineStr">
        <is>
          <t>T01_TER3</t>
        </is>
      </c>
      <c r="B35" s="85" t="inlineStr">
        <is>
          <t>U2-L2-F05</t>
        </is>
      </c>
      <c r="C35" s="85" t="inlineStr">
        <is>
          <t>FF</t>
        </is>
      </c>
      <c r="D35" s="85" t="inlineStr">
        <is>
          <t>Front</t>
        </is>
      </c>
      <c r="E35" s="85" t="inlineStr">
        <is>
          <t>window</t>
        </is>
      </c>
      <c r="F35" s="85" t="n">
        <v>1110</v>
      </c>
      <c r="G35" s="85" t="n">
        <v>1050</v>
      </c>
      <c r="H35" s="85" t="n">
        <v>3750</v>
      </c>
      <c r="I35" s="85" t="n">
        <v>4800</v>
      </c>
      <c r="J35" s="85" t="inlineStr">
        <is>
          <t>FF bathroom window</t>
        </is>
      </c>
    </row>
    <row r="36">
      <c r="A36" s="85" t="inlineStr">
        <is>
          <t>T01_TER3</t>
        </is>
      </c>
      <c r="B36" s="85" t="inlineStr">
        <is>
          <t>U2-L2-F06</t>
        </is>
      </c>
      <c r="C36" s="85" t="inlineStr">
        <is>
          <t>FF</t>
        </is>
      </c>
      <c r="D36" s="85" t="inlineStr">
        <is>
          <t>Front</t>
        </is>
      </c>
      <c r="E36" s="85" t="inlineStr">
        <is>
          <t>window</t>
        </is>
      </c>
      <c r="F36" s="85" t="n">
        <v>1710</v>
      </c>
      <c r="G36" s="85" t="n">
        <v>1200</v>
      </c>
      <c r="H36" s="85" t="n">
        <v>3600</v>
      </c>
      <c r="I36" s="85" t="n">
        <v>4800</v>
      </c>
      <c r="J36" s="85" t="inlineStr">
        <is>
          <t>FF bedroom 1 window (3-light)</t>
        </is>
      </c>
    </row>
    <row r="37">
      <c r="A37" s="85" t="inlineStr">
        <is>
          <t>T01_TER3</t>
        </is>
      </c>
      <c r="B37" s="85" t="inlineStr">
        <is>
          <t>U2-L2-R07</t>
        </is>
      </c>
      <c r="C37" s="85" t="inlineStr">
        <is>
          <t>FF</t>
        </is>
      </c>
      <c r="D37" s="85" t="inlineStr">
        <is>
          <t>Rear</t>
        </is>
      </c>
      <c r="E37" s="85" t="inlineStr">
        <is>
          <t>window</t>
        </is>
      </c>
      <c r="F37" s="85" t="n">
        <v>1110</v>
      </c>
      <c r="G37" s="85" t="n">
        <v>1200</v>
      </c>
      <c r="H37" s="85" t="n">
        <v>3600</v>
      </c>
      <c r="I37" s="85" t="n">
        <v>4800</v>
      </c>
      <c r="J37" s="85" t="inlineStr">
        <is>
          <t>FF bedroom 3 window</t>
        </is>
      </c>
    </row>
    <row r="38">
      <c r="A38" s="85" t="inlineStr">
        <is>
          <t>T01_TER3</t>
        </is>
      </c>
      <c r="B38" s="85" t="inlineStr">
        <is>
          <t>U2-L2-R08</t>
        </is>
      </c>
      <c r="C38" s="85" t="inlineStr">
        <is>
          <t>FF</t>
        </is>
      </c>
      <c r="D38" s="85" t="inlineStr">
        <is>
          <t>Rear</t>
        </is>
      </c>
      <c r="E38" s="85" t="inlineStr">
        <is>
          <t>window</t>
        </is>
      </c>
      <c r="F38" s="85" t="n">
        <v>1110</v>
      </c>
      <c r="G38" s="85" t="n">
        <v>1200</v>
      </c>
      <c r="H38" s="85" t="n">
        <v>3600</v>
      </c>
      <c r="I38" s="85" t="n">
        <v>4800</v>
      </c>
      <c r="J38" s="85" t="inlineStr">
        <is>
          <t>FF bedroom 2 window</t>
        </is>
      </c>
    </row>
    <row r="39">
      <c r="A39" s="85" t="inlineStr">
        <is>
          <t>T01_TER3</t>
        </is>
      </c>
      <c r="B39" s="85" t="inlineStr">
        <is>
          <t>U3-L1-F01</t>
        </is>
      </c>
      <c r="C39" s="85" t="inlineStr">
        <is>
          <t>GF</t>
        </is>
      </c>
      <c r="D39" s="85" t="inlineStr">
        <is>
          <t>Front</t>
        </is>
      </c>
      <c r="E39" s="85" t="inlineStr">
        <is>
          <t>window</t>
        </is>
      </c>
      <c r="F39" s="85" t="n">
        <v>510</v>
      </c>
      <c r="G39" s="85" t="n">
        <v>1050</v>
      </c>
      <c r="H39" s="85" t="n">
        <v>1050</v>
      </c>
      <c r="I39" s="85" t="n">
        <v>2100</v>
      </c>
      <c r="J39" s="85" t="inlineStr">
        <is>
          <t>GF WC window</t>
        </is>
      </c>
    </row>
    <row r="40">
      <c r="A40" s="85" t="inlineStr">
        <is>
          <t>T01_TER3</t>
        </is>
      </c>
      <c r="B40" s="85" t="inlineStr">
        <is>
          <t>U3-L1-F02</t>
        </is>
      </c>
      <c r="C40" s="85" t="inlineStr">
        <is>
          <t>GF</t>
        </is>
      </c>
      <c r="D40" s="85" t="inlineStr">
        <is>
          <t>Front</t>
        </is>
      </c>
      <c r="E40" s="85" t="inlineStr">
        <is>
          <t>door</t>
        </is>
      </c>
      <c r="F40" s="85" t="n">
        <v>1110</v>
      </c>
      <c r="G40" s="85" t="n">
        <v>2100</v>
      </c>
      <c r="H40" s="85" t="n">
        <v>0</v>
      </c>
      <c r="I40" s="85" t="n">
        <v>2100</v>
      </c>
      <c r="J40" s="85" t="inlineStr">
        <is>
          <t>GF front entrance door</t>
        </is>
      </c>
    </row>
    <row r="41">
      <c r="A41" s="85" t="inlineStr">
        <is>
          <t>T01_TER3</t>
        </is>
      </c>
      <c r="B41" s="85" t="inlineStr">
        <is>
          <t>U3-L1-F03</t>
        </is>
      </c>
      <c r="C41" s="85" t="inlineStr">
        <is>
          <t>GF</t>
        </is>
      </c>
      <c r="D41" s="85" t="inlineStr">
        <is>
          <t>Front</t>
        </is>
      </c>
      <c r="E41" s="85" t="inlineStr">
        <is>
          <t>window</t>
        </is>
      </c>
      <c r="F41" s="85" t="n">
        <v>1710</v>
      </c>
      <c r="G41" s="85" t="n">
        <v>1050</v>
      </c>
      <c r="H41" s="85" t="n">
        <v>1050</v>
      </c>
      <c r="I41" s="85" t="n">
        <v>2100</v>
      </c>
      <c r="J41" s="85" t="inlineStr">
        <is>
          <t>GF living window (3-light)</t>
        </is>
      </c>
    </row>
    <row r="42">
      <c r="A42" s="85" t="inlineStr">
        <is>
          <t>T01_TER3</t>
        </is>
      </c>
      <c r="B42" s="85" t="inlineStr">
        <is>
          <t>U3-L1-R04</t>
        </is>
      </c>
      <c r="C42" s="85" t="inlineStr">
        <is>
          <t>GF</t>
        </is>
      </c>
      <c r="D42" s="85" t="inlineStr">
        <is>
          <t>Rear</t>
        </is>
      </c>
      <c r="E42" s="85" t="inlineStr">
        <is>
          <t>door</t>
        </is>
      </c>
      <c r="F42" s="85" t="n">
        <v>2610</v>
      </c>
      <c r="G42" s="85" t="n">
        <v>2100</v>
      </c>
      <c r="H42" s="85" t="n">
        <v>0</v>
      </c>
      <c r="I42" s="85" t="n">
        <v>2100</v>
      </c>
      <c r="J42" s="85" t="inlineStr">
        <is>
          <t>GF kitchen/dining bifold (3-leaf)</t>
        </is>
      </c>
    </row>
    <row r="43">
      <c r="A43" s="85" t="inlineStr">
        <is>
          <t>T01_TER3</t>
        </is>
      </c>
      <c r="B43" s="85" t="inlineStr">
        <is>
          <t>U3-L2-F05</t>
        </is>
      </c>
      <c r="C43" s="85" t="inlineStr">
        <is>
          <t>FF</t>
        </is>
      </c>
      <c r="D43" s="85" t="inlineStr">
        <is>
          <t>Front</t>
        </is>
      </c>
      <c r="E43" s="85" t="inlineStr">
        <is>
          <t>window</t>
        </is>
      </c>
      <c r="F43" s="85" t="n">
        <v>1110</v>
      </c>
      <c r="G43" s="85" t="n">
        <v>1050</v>
      </c>
      <c r="H43" s="85" t="n">
        <v>3750</v>
      </c>
      <c r="I43" s="85" t="n">
        <v>4800</v>
      </c>
      <c r="J43" s="85" t="inlineStr">
        <is>
          <t>FF bathroom window</t>
        </is>
      </c>
    </row>
    <row r="44">
      <c r="A44" s="85" t="inlineStr">
        <is>
          <t>T01_TER3</t>
        </is>
      </c>
      <c r="B44" s="85" t="inlineStr">
        <is>
          <t>U3-L2-F06</t>
        </is>
      </c>
      <c r="C44" s="85" t="inlineStr">
        <is>
          <t>FF</t>
        </is>
      </c>
      <c r="D44" s="85" t="inlineStr">
        <is>
          <t>Front</t>
        </is>
      </c>
      <c r="E44" s="85" t="inlineStr">
        <is>
          <t>window</t>
        </is>
      </c>
      <c r="F44" s="85" t="n">
        <v>1710</v>
      </c>
      <c r="G44" s="85" t="n">
        <v>1200</v>
      </c>
      <c r="H44" s="85" t="n">
        <v>3600</v>
      </c>
      <c r="I44" s="85" t="n">
        <v>4800</v>
      </c>
      <c r="J44" s="85" t="inlineStr">
        <is>
          <t>FF bedroom 1 window (3-light)</t>
        </is>
      </c>
    </row>
    <row r="45">
      <c r="A45" s="85" t="inlineStr">
        <is>
          <t>T01_TER3</t>
        </is>
      </c>
      <c r="B45" s="85" t="inlineStr">
        <is>
          <t>U3-L2-R07</t>
        </is>
      </c>
      <c r="C45" s="85" t="inlineStr">
        <is>
          <t>FF</t>
        </is>
      </c>
      <c r="D45" s="85" t="inlineStr">
        <is>
          <t>Rear</t>
        </is>
      </c>
      <c r="E45" s="85" t="inlineStr">
        <is>
          <t>window</t>
        </is>
      </c>
      <c r="F45" s="85" t="n">
        <v>1110</v>
      </c>
      <c r="G45" s="85" t="n">
        <v>1200</v>
      </c>
      <c r="H45" s="85" t="n">
        <v>3600</v>
      </c>
      <c r="I45" s="85" t="n">
        <v>4800</v>
      </c>
      <c r="J45" s="85" t="inlineStr">
        <is>
          <t>FF bedroom 3 window</t>
        </is>
      </c>
    </row>
    <row r="46">
      <c r="A46" s="85" t="inlineStr">
        <is>
          <t>T01_TER3</t>
        </is>
      </c>
      <c r="B46" s="85" t="inlineStr">
        <is>
          <t>U3-L2-R08</t>
        </is>
      </c>
      <c r="C46" s="85" t="inlineStr">
        <is>
          <t>FF</t>
        </is>
      </c>
      <c r="D46" s="85" t="inlineStr">
        <is>
          <t>Rear</t>
        </is>
      </c>
      <c r="E46" s="85" t="inlineStr">
        <is>
          <t>window</t>
        </is>
      </c>
      <c r="F46" s="85" t="n">
        <v>1110</v>
      </c>
      <c r="G46" s="85" t="n">
        <v>1200</v>
      </c>
      <c r="H46" s="85" t="n">
        <v>3600</v>
      </c>
      <c r="I46" s="85" t="n">
        <v>4800</v>
      </c>
      <c r="J46" s="85" t="inlineStr">
        <is>
          <t>FF bedroom 2 window</t>
        </is>
      </c>
    </row>
    <row r="47">
      <c r="A47" s="85" t="inlineStr">
        <is>
          <t>T02_BUNG</t>
        </is>
      </c>
      <c r="B47" s="85" t="inlineStr">
        <is>
          <t>U1-L1-F01</t>
        </is>
      </c>
      <c r="C47" s="85" t="inlineStr">
        <is>
          <t>GF</t>
        </is>
      </c>
      <c r="D47" s="85" t="inlineStr">
        <is>
          <t>Front</t>
        </is>
      </c>
      <c r="E47" s="85" t="inlineStr">
        <is>
          <t>window</t>
        </is>
      </c>
      <c r="F47" s="85" t="n">
        <v>1710</v>
      </c>
      <c r="G47" s="85" t="n">
        <v>1200</v>
      </c>
      <c r="H47" s="85" t="n">
        <v>900</v>
      </c>
      <c r="I47" s="85" t="n">
        <v>2100</v>
      </c>
      <c r="J47" s="85" t="inlineStr">
        <is>
          <t>bedroom 1 window (3-light)</t>
        </is>
      </c>
    </row>
    <row r="48">
      <c r="A48" s="85" t="inlineStr">
        <is>
          <t>T02_BUNG</t>
        </is>
      </c>
      <c r="B48" s="85" t="inlineStr">
        <is>
          <t>U1-L1-F02</t>
        </is>
      </c>
      <c r="C48" s="85" t="inlineStr">
        <is>
          <t>GF</t>
        </is>
      </c>
      <c r="D48" s="85" t="inlineStr">
        <is>
          <t>Front</t>
        </is>
      </c>
      <c r="E48" s="85" t="inlineStr">
        <is>
          <t>window</t>
        </is>
      </c>
      <c r="F48" s="85" t="n">
        <v>1110</v>
      </c>
      <c r="G48" s="85" t="n">
        <v>1200</v>
      </c>
      <c r="H48" s="85" t="n">
        <v>900</v>
      </c>
      <c r="I48" s="85" t="n">
        <v>2100</v>
      </c>
      <c r="J48" s="85" t="inlineStr">
        <is>
          <t>bathroom window</t>
        </is>
      </c>
    </row>
    <row r="49">
      <c r="A49" s="85" t="inlineStr">
        <is>
          <t>T02_BUNG</t>
        </is>
      </c>
      <c r="B49" s="85" t="inlineStr">
        <is>
          <t>U1-L1-F03</t>
        </is>
      </c>
      <c r="C49" s="85" t="inlineStr">
        <is>
          <t>GF</t>
        </is>
      </c>
      <c r="D49" s="85" t="inlineStr">
        <is>
          <t>Front</t>
        </is>
      </c>
      <c r="E49" s="85" t="inlineStr">
        <is>
          <t>door</t>
        </is>
      </c>
      <c r="F49" s="85" t="n">
        <v>1110</v>
      </c>
      <c r="G49" s="85" t="n">
        <v>2100</v>
      </c>
      <c r="H49" s="85" t="n">
        <v>0</v>
      </c>
      <c r="I49" s="85" t="n">
        <v>2100</v>
      </c>
      <c r="J49" s="85" t="inlineStr">
        <is>
          <t>front entrance door</t>
        </is>
      </c>
    </row>
    <row r="50">
      <c r="A50" s="85" t="inlineStr">
        <is>
          <t>T02_BUNG</t>
        </is>
      </c>
      <c r="B50" s="85" t="inlineStr">
        <is>
          <t>U1-L1-F04</t>
        </is>
      </c>
      <c r="C50" s="85" t="inlineStr">
        <is>
          <t>GF</t>
        </is>
      </c>
      <c r="D50" s="85" t="inlineStr">
        <is>
          <t>Front</t>
        </is>
      </c>
      <c r="E50" s="85" t="inlineStr">
        <is>
          <t>window</t>
        </is>
      </c>
      <c r="F50" s="85" t="n">
        <v>1710</v>
      </c>
      <c r="G50" s="85" t="n">
        <v>1200</v>
      </c>
      <c r="H50" s="85" t="n">
        <v>900</v>
      </c>
      <c r="I50" s="85" t="n">
        <v>2100</v>
      </c>
      <c r="J50" s="85" t="inlineStr">
        <is>
          <t>bedroom 2 window (3-light)</t>
        </is>
      </c>
    </row>
    <row r="51">
      <c r="A51" s="85" t="inlineStr">
        <is>
          <t>T02_BUNG</t>
        </is>
      </c>
      <c r="B51" s="85" t="inlineStr">
        <is>
          <t>U1-L1-R05</t>
        </is>
      </c>
      <c r="C51" s="85" t="inlineStr">
        <is>
          <t>GF</t>
        </is>
      </c>
      <c r="D51" s="85" t="inlineStr">
        <is>
          <t>Rear</t>
        </is>
      </c>
      <c r="E51" s="85" t="inlineStr">
        <is>
          <t>window</t>
        </is>
      </c>
      <c r="F51" s="85" t="n">
        <v>1710</v>
      </c>
      <c r="G51" s="85" t="n">
        <v>1050</v>
      </c>
      <c r="H51" s="85" t="n">
        <v>1050</v>
      </c>
      <c r="I51" s="85" t="n">
        <v>2100</v>
      </c>
      <c r="J51" s="85" t="inlineStr">
        <is>
          <t>kitchen window (3-light)</t>
        </is>
      </c>
    </row>
    <row r="52">
      <c r="A52" s="85" t="inlineStr">
        <is>
          <t>T02_BUNG</t>
        </is>
      </c>
      <c r="B52" s="85" t="inlineStr">
        <is>
          <t>U1-L1-R06</t>
        </is>
      </c>
      <c r="C52" s="85" t="inlineStr">
        <is>
          <t>GF</t>
        </is>
      </c>
      <c r="D52" s="85" t="inlineStr">
        <is>
          <t>Rear</t>
        </is>
      </c>
      <c r="E52" s="85" t="inlineStr">
        <is>
          <t>door</t>
        </is>
      </c>
      <c r="F52" s="85" t="n">
        <v>2610</v>
      </c>
      <c r="G52" s="85" t="n">
        <v>2100</v>
      </c>
      <c r="H52" s="85" t="n">
        <v>0</v>
      </c>
      <c r="I52" s="85" t="n">
        <v>2100</v>
      </c>
      <c r="J52" s="85" t="inlineStr">
        <is>
          <t>kitchen/dining bifold 1</t>
        </is>
      </c>
    </row>
    <row r="53">
      <c r="A53" s="85" t="inlineStr">
        <is>
          <t>T02_BUNG</t>
        </is>
      </c>
      <c r="B53" s="85" t="inlineStr">
        <is>
          <t>U1-L1-R07</t>
        </is>
      </c>
      <c r="C53" s="85" t="inlineStr">
        <is>
          <t>GF</t>
        </is>
      </c>
      <c r="D53" s="85" t="inlineStr">
        <is>
          <t>Rear</t>
        </is>
      </c>
      <c r="E53" s="85" t="inlineStr">
        <is>
          <t>door</t>
        </is>
      </c>
      <c r="F53" s="85" t="n">
        <v>2610</v>
      </c>
      <c r="G53" s="85" t="n">
        <v>2100</v>
      </c>
      <c r="H53" s="85" t="n">
        <v>0</v>
      </c>
      <c r="I53" s="85" t="n">
        <v>2100</v>
      </c>
      <c r="J53" s="85" t="inlineStr">
        <is>
          <t>living bifold 2</t>
        </is>
      </c>
    </row>
    <row r="55">
      <c r="A55" s="125" t="inlineStr">
        <is>
          <t>Site: T01_SEMI 16 x 2 + T01_TER3 24 x 4 + T02_BUNG 7 x 2 = 142 openings</t>
        </is>
      </c>
    </row>
  </sheetData>
  <sheetProtection selectLockedCells="0" selectUnlockedCells="0" sheet="1" objects="0" insertRows="1" insertHyperlinks="1" autoFilter="1" scenarios="0" formatColumns="0" deleteColumns="1" insertColumns="1" pivotTables="1" deleteRows="1" formatCells="1" formatRows="0" sort="1"/>
  <mergeCells count="3">
    <mergeCell ref="C1:J1"/>
    <mergeCell ref="A4:J4"/>
    <mergeCell ref="C2:J2"/>
  </mergeCells>
  <printOptions horizontalCentered="1"/>
  <pageMargins left="0.75" right="0.75" top="0.7" bottom="0.75" header="0.5" footer="0.5"/>
  <pageSetup orientation="landscape" paperSize="9" fitToHeight="0" fitToWidth="1"/>
  <headerFooter>
    <oddHeader>&amp;L&amp;8 BuildEase  |  ES26-080 Land to Rear of 1-8 Wesley Terrace, Castleside  |  Wannop Developments Ltd&amp;R&amp;8 Bill of Quantities Package - Finishes &amp;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20.xml><?xml version="1.0" encoding="utf-8"?>
<worksheet xmlns="http://schemas.openxmlformats.org/spreadsheetml/2006/main">
  <sheetPr>
    <outlinePr summaryBelow="1" summaryRight="1"/>
    <pageSetUpPr fitToPage="1"/>
  </sheetPr>
  <dimension ref="A1:L25"/>
  <sheetViews>
    <sheetView showGridLines="0" workbookViewId="0">
      <pane ySplit="6" topLeftCell="A7" activePane="bottomLeft" state="frozen"/>
      <selection pane="bottomLeft" activeCell="A1" sqref="A1"/>
    </sheetView>
  </sheetViews>
  <sheetFormatPr baseColWidth="8" defaultRowHeight="15"/>
  <cols>
    <col width="7" customWidth="1" min="1" max="1"/>
    <col width="7" customWidth="1" min="2" max="2"/>
    <col width="11" customWidth="1" min="3" max="3"/>
    <col width="6" customWidth="1" min="4" max="4"/>
    <col width="9" customWidth="1" min="5" max="5"/>
    <col width="7" customWidth="1" min="6" max="6"/>
    <col width="12" customWidth="1" min="7" max="7"/>
    <col width="12" customWidth="1" min="8" max="8"/>
    <col width="12" customWidth="1" min="9" max="9"/>
    <col width="9" customWidth="1" min="10" max="10"/>
    <col width="10" customWidth="1" min="11" max="11"/>
    <col width="12" customWidth="1" min="12" max="12"/>
  </cols>
  <sheetData>
    <row r="1" ht="22" customHeight="1">
      <c r="C1" s="70" t="inlineStr">
        <is>
          <t>Schedule C - Key Quantities per Plot</t>
        </is>
      </c>
    </row>
    <row r="2" ht="18" customHeight="1">
      <c r="C2" s="71" t="inlineStr">
        <is>
          <t>Per dwelling (plots 01-18). Reference only - the bills carry the priced quantities. Not priced.</t>
        </is>
      </c>
    </row>
    <row r="3" ht="4" customHeight="1">
      <c r="A3" s="72" t="n"/>
      <c r="B3" s="72" t="n"/>
      <c r="C3" s="72" t="n"/>
      <c r="D3" s="72" t="n"/>
      <c r="E3" s="72" t="n"/>
      <c r="F3" s="72" t="n"/>
      <c r="G3" s="72" t="n"/>
      <c r="H3" s="72" t="n"/>
      <c r="I3" s="72" t="n"/>
      <c r="J3" s="72" t="n"/>
      <c r="K3" s="72" t="n"/>
      <c r="L3" s="72" t="n"/>
    </row>
    <row r="4" ht="48"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6" ht="30" customHeight="1">
      <c r="A6" s="78" t="inlineStr">
        <is>
          <t>Plot</t>
        </is>
      </c>
      <c r="B6" s="78" t="inlineStr">
        <is>
          <t>Block</t>
        </is>
      </c>
      <c r="C6" s="78" t="inlineStr">
        <is>
          <t>Block type</t>
        </is>
      </c>
      <c r="D6" s="78" t="inlineStr">
        <is>
          <t>Unit</t>
        </is>
      </c>
      <c r="E6" s="78" t="inlineStr">
        <is>
          <t>Position</t>
        </is>
      </c>
      <c r="F6" s="78" t="inlineStr">
        <is>
          <t>Facing</t>
        </is>
      </c>
      <c r="G6" s="78" t="inlineStr">
        <is>
          <t>Slips walls m2</t>
        </is>
      </c>
      <c r="H6" s="78" t="inlineStr">
        <is>
          <t>PB walls m2</t>
        </is>
      </c>
      <c r="I6" s="78" t="inlineStr">
        <is>
          <t>PB ceilings m2</t>
        </is>
      </c>
      <c r="J6" s="78" t="inlineStr">
        <is>
          <t>Doors nr</t>
        </is>
      </c>
      <c r="K6" s="78" t="inlineStr">
        <is>
          <t>Skirting m</t>
        </is>
      </c>
      <c r="L6" s="78" t="inlineStr">
        <is>
          <t>Partitions m2</t>
        </is>
      </c>
    </row>
    <row r="7">
      <c r="A7" s="85" t="inlineStr">
        <is>
          <t>01</t>
        </is>
      </c>
      <c r="B7" s="85" t="inlineStr">
        <is>
          <t>B01</t>
        </is>
      </c>
      <c r="C7" s="85" t="inlineStr">
        <is>
          <t>T01_SEMI</t>
        </is>
      </c>
      <c r="D7" s="85" t="inlineStr">
        <is>
          <t>U1</t>
        </is>
      </c>
      <c r="E7" s="85" t="inlineStr">
        <is>
          <t>end</t>
        </is>
      </c>
      <c r="F7" s="85" t="inlineStr">
        <is>
          <t>brick</t>
        </is>
      </c>
      <c r="G7" s="126" t="n">
        <v>117.28</v>
      </c>
      <c r="H7" s="126" t="n">
        <v>254.89</v>
      </c>
      <c r="I7" s="126" t="n">
        <v>97.72</v>
      </c>
      <c r="J7" s="126" t="n">
        <v>8</v>
      </c>
      <c r="K7" s="126" t="n">
        <v>86.25</v>
      </c>
      <c r="L7" s="126" t="n">
        <v>72.63</v>
      </c>
    </row>
    <row r="8">
      <c r="A8" s="85" t="inlineStr">
        <is>
          <t>02</t>
        </is>
      </c>
      <c r="B8" s="85" t="inlineStr">
        <is>
          <t>B01</t>
        </is>
      </c>
      <c r="C8" s="85" t="inlineStr">
        <is>
          <t>T01_SEMI</t>
        </is>
      </c>
      <c r="D8" s="85" t="inlineStr">
        <is>
          <t>U2</t>
        </is>
      </c>
      <c r="E8" s="85" t="inlineStr">
        <is>
          <t>end</t>
        </is>
      </c>
      <c r="F8" s="85" t="inlineStr">
        <is>
          <t>brick</t>
        </is>
      </c>
      <c r="G8" s="126" t="n">
        <v>117.28</v>
      </c>
      <c r="H8" s="126" t="n">
        <v>254.89</v>
      </c>
      <c r="I8" s="126" t="n">
        <v>97.72</v>
      </c>
      <c r="J8" s="126" t="n">
        <v>8</v>
      </c>
      <c r="K8" s="126" t="n">
        <v>86.25</v>
      </c>
      <c r="L8" s="126" t="n">
        <v>72.63</v>
      </c>
    </row>
    <row r="9">
      <c r="A9" s="85" t="inlineStr">
        <is>
          <t>03</t>
        </is>
      </c>
      <c r="B9" s="85" t="inlineStr">
        <is>
          <t>B02</t>
        </is>
      </c>
      <c r="C9" s="85" t="inlineStr">
        <is>
          <t>T01_TER3</t>
        </is>
      </c>
      <c r="D9" s="85" t="inlineStr">
        <is>
          <t>U1</t>
        </is>
      </c>
      <c r="E9" s="85" t="inlineStr">
        <is>
          <t>end</t>
        </is>
      </c>
      <c r="F9" s="85" t="inlineStr">
        <is>
          <t>brick</t>
        </is>
      </c>
      <c r="G9" s="126" t="n">
        <v>117.28</v>
      </c>
      <c r="H9" s="126" t="n">
        <v>254.89</v>
      </c>
      <c r="I9" s="126" t="n">
        <v>97.72</v>
      </c>
      <c r="J9" s="126" t="n">
        <v>8</v>
      </c>
      <c r="K9" s="126" t="n">
        <v>86.25</v>
      </c>
      <c r="L9" s="126" t="n">
        <v>72.63</v>
      </c>
    </row>
    <row r="10">
      <c r="A10" s="85" t="inlineStr">
        <is>
          <t>04</t>
        </is>
      </c>
      <c r="B10" s="85" t="inlineStr">
        <is>
          <t>B02</t>
        </is>
      </c>
      <c r="C10" s="85" t="inlineStr">
        <is>
          <t>T01_TER3</t>
        </is>
      </c>
      <c r="D10" s="85" t="inlineStr">
        <is>
          <t>U2</t>
        </is>
      </c>
      <c r="E10" s="85" t="inlineStr">
        <is>
          <t>mid</t>
        </is>
      </c>
      <c r="F10" s="85" t="inlineStr">
        <is>
          <t>brick</t>
        </is>
      </c>
      <c r="G10" s="126" t="n">
        <v>46.06</v>
      </c>
      <c r="H10" s="126" t="n">
        <v>255.41</v>
      </c>
      <c r="I10" s="126" t="n">
        <v>97.95</v>
      </c>
      <c r="J10" s="126" t="n">
        <v>8</v>
      </c>
      <c r="K10" s="126" t="n">
        <v>86.45</v>
      </c>
      <c r="L10" s="126" t="n">
        <v>72.79000000000001</v>
      </c>
    </row>
    <row r="11">
      <c r="A11" s="85" t="inlineStr">
        <is>
          <t>05</t>
        </is>
      </c>
      <c r="B11" s="85" t="inlineStr">
        <is>
          <t>B02</t>
        </is>
      </c>
      <c r="C11" s="85" t="inlineStr">
        <is>
          <t>T01_TER3</t>
        </is>
      </c>
      <c r="D11" s="85" t="inlineStr">
        <is>
          <t>U3</t>
        </is>
      </c>
      <c r="E11" s="85" t="inlineStr">
        <is>
          <t>end</t>
        </is>
      </c>
      <c r="F11" s="85" t="inlineStr">
        <is>
          <t>brick</t>
        </is>
      </c>
      <c r="G11" s="126" t="n">
        <v>117.28</v>
      </c>
      <c r="H11" s="126" t="n">
        <v>254.89</v>
      </c>
      <c r="I11" s="126" t="n">
        <v>97.72</v>
      </c>
      <c r="J11" s="126" t="n">
        <v>8</v>
      </c>
      <c r="K11" s="126" t="n">
        <v>86.25</v>
      </c>
      <c r="L11" s="126" t="n">
        <v>72.63</v>
      </c>
    </row>
    <row r="12">
      <c r="A12" s="85" t="inlineStr">
        <is>
          <t>06</t>
        </is>
      </c>
      <c r="B12" s="85" t="inlineStr">
        <is>
          <t>B03</t>
        </is>
      </c>
      <c r="C12" s="85" t="inlineStr">
        <is>
          <t>T01_TER3</t>
        </is>
      </c>
      <c r="D12" s="85" t="inlineStr">
        <is>
          <t>U1</t>
        </is>
      </c>
      <c r="E12" s="85" t="inlineStr">
        <is>
          <t>end</t>
        </is>
      </c>
      <c r="F12" s="85" t="inlineStr">
        <is>
          <t>brick</t>
        </is>
      </c>
      <c r="G12" s="126" t="n">
        <v>117.28</v>
      </c>
      <c r="H12" s="126" t="n">
        <v>254.89</v>
      </c>
      <c r="I12" s="126" t="n">
        <v>97.72</v>
      </c>
      <c r="J12" s="126" t="n">
        <v>8</v>
      </c>
      <c r="K12" s="126" t="n">
        <v>86.25</v>
      </c>
      <c r="L12" s="126" t="n">
        <v>72.63</v>
      </c>
    </row>
    <row r="13">
      <c r="A13" s="85" t="inlineStr">
        <is>
          <t>07</t>
        </is>
      </c>
      <c r="B13" s="85" t="inlineStr">
        <is>
          <t>B03</t>
        </is>
      </c>
      <c r="C13" s="85" t="inlineStr">
        <is>
          <t>T01_TER3</t>
        </is>
      </c>
      <c r="D13" s="85" t="inlineStr">
        <is>
          <t>U2</t>
        </is>
      </c>
      <c r="E13" s="85" t="inlineStr">
        <is>
          <t>mid</t>
        </is>
      </c>
      <c r="F13" s="85" t="inlineStr">
        <is>
          <t>brick</t>
        </is>
      </c>
      <c r="G13" s="126" t="n">
        <v>46.06</v>
      </c>
      <c r="H13" s="126" t="n">
        <v>255.41</v>
      </c>
      <c r="I13" s="126" t="n">
        <v>97.95</v>
      </c>
      <c r="J13" s="126" t="n">
        <v>8</v>
      </c>
      <c r="K13" s="126" t="n">
        <v>86.45</v>
      </c>
      <c r="L13" s="126" t="n">
        <v>72.79000000000001</v>
      </c>
    </row>
    <row r="14">
      <c r="A14" s="85" t="inlineStr">
        <is>
          <t>08</t>
        </is>
      </c>
      <c r="B14" s="85" t="inlineStr">
        <is>
          <t>B03</t>
        </is>
      </c>
      <c r="C14" s="85" t="inlineStr">
        <is>
          <t>T01_TER3</t>
        </is>
      </c>
      <c r="D14" s="85" t="inlineStr">
        <is>
          <t>U3</t>
        </is>
      </c>
      <c r="E14" s="85" t="inlineStr">
        <is>
          <t>end</t>
        </is>
      </c>
      <c r="F14" s="85" t="inlineStr">
        <is>
          <t>brick</t>
        </is>
      </c>
      <c r="G14" s="126" t="n">
        <v>117.28</v>
      </c>
      <c r="H14" s="126" t="n">
        <v>254.89</v>
      </c>
      <c r="I14" s="126" t="n">
        <v>97.72</v>
      </c>
      <c r="J14" s="126" t="n">
        <v>8</v>
      </c>
      <c r="K14" s="126" t="n">
        <v>86.25</v>
      </c>
      <c r="L14" s="126" t="n">
        <v>72.63</v>
      </c>
    </row>
    <row r="15">
      <c r="A15" s="85" t="inlineStr">
        <is>
          <t>09</t>
        </is>
      </c>
      <c r="B15" s="85" t="inlineStr">
        <is>
          <t>B04</t>
        </is>
      </c>
      <c r="C15" s="85" t="inlineStr">
        <is>
          <t>T01_SEMI</t>
        </is>
      </c>
      <c r="D15" s="85" t="inlineStr">
        <is>
          <t>U1</t>
        </is>
      </c>
      <c r="E15" s="85" t="inlineStr">
        <is>
          <t>end</t>
        </is>
      </c>
      <c r="F15" s="85" t="inlineStr">
        <is>
          <t>brick</t>
        </is>
      </c>
      <c r="G15" s="126" t="n">
        <v>117.28</v>
      </c>
      <c r="H15" s="126" t="n">
        <v>254.89</v>
      </c>
      <c r="I15" s="126" t="n">
        <v>97.72</v>
      </c>
      <c r="J15" s="126" t="n">
        <v>8</v>
      </c>
      <c r="K15" s="126" t="n">
        <v>86.25</v>
      </c>
      <c r="L15" s="126" t="n">
        <v>72.63</v>
      </c>
    </row>
    <row r="16">
      <c r="A16" s="85" t="inlineStr">
        <is>
          <t>10</t>
        </is>
      </c>
      <c r="B16" s="85" t="inlineStr">
        <is>
          <t>B04</t>
        </is>
      </c>
      <c r="C16" s="85" t="inlineStr">
        <is>
          <t>T01_SEMI</t>
        </is>
      </c>
      <c r="D16" s="85" t="inlineStr">
        <is>
          <t>U2</t>
        </is>
      </c>
      <c r="E16" s="85" t="inlineStr">
        <is>
          <t>end</t>
        </is>
      </c>
      <c r="F16" s="85" t="inlineStr">
        <is>
          <t>brick</t>
        </is>
      </c>
      <c r="G16" s="126" t="n">
        <v>117.28</v>
      </c>
      <c r="H16" s="126" t="n">
        <v>254.89</v>
      </c>
      <c r="I16" s="126" t="n">
        <v>97.72</v>
      </c>
      <c r="J16" s="126" t="n">
        <v>8</v>
      </c>
      <c r="K16" s="126" t="n">
        <v>86.25</v>
      </c>
      <c r="L16" s="126" t="n">
        <v>72.63</v>
      </c>
    </row>
    <row r="17">
      <c r="A17" s="85" t="inlineStr">
        <is>
          <t>11</t>
        </is>
      </c>
      <c r="B17" s="85" t="inlineStr">
        <is>
          <t>B05</t>
        </is>
      </c>
      <c r="C17" s="85" t="inlineStr">
        <is>
          <t>T01_TER3</t>
        </is>
      </c>
      <c r="D17" s="85" t="inlineStr">
        <is>
          <t>U1</t>
        </is>
      </c>
      <c r="E17" s="85" t="inlineStr">
        <is>
          <t>end</t>
        </is>
      </c>
      <c r="F17" s="85" t="inlineStr">
        <is>
          <t>brick</t>
        </is>
      </c>
      <c r="G17" s="126" t="n">
        <v>117.28</v>
      </c>
      <c r="H17" s="126" t="n">
        <v>254.89</v>
      </c>
      <c r="I17" s="126" t="n">
        <v>97.72</v>
      </c>
      <c r="J17" s="126" t="n">
        <v>8</v>
      </c>
      <c r="K17" s="126" t="n">
        <v>86.25</v>
      </c>
      <c r="L17" s="126" t="n">
        <v>72.63</v>
      </c>
    </row>
    <row r="18">
      <c r="A18" s="85" t="inlineStr">
        <is>
          <t>12</t>
        </is>
      </c>
      <c r="B18" s="85" t="inlineStr">
        <is>
          <t>B05</t>
        </is>
      </c>
      <c r="C18" s="85" t="inlineStr">
        <is>
          <t>T01_TER3</t>
        </is>
      </c>
      <c r="D18" s="85" t="inlineStr">
        <is>
          <t>U2</t>
        </is>
      </c>
      <c r="E18" s="85" t="inlineStr">
        <is>
          <t>mid</t>
        </is>
      </c>
      <c r="F18" s="85" t="inlineStr">
        <is>
          <t>brick</t>
        </is>
      </c>
      <c r="G18" s="126" t="n">
        <v>46.06</v>
      </c>
      <c r="H18" s="126" t="n">
        <v>255.41</v>
      </c>
      <c r="I18" s="126" t="n">
        <v>97.95</v>
      </c>
      <c r="J18" s="126" t="n">
        <v>8</v>
      </c>
      <c r="K18" s="126" t="n">
        <v>86.45</v>
      </c>
      <c r="L18" s="126" t="n">
        <v>72.79000000000001</v>
      </c>
    </row>
    <row r="19">
      <c r="A19" s="85" t="inlineStr">
        <is>
          <t>13</t>
        </is>
      </c>
      <c r="B19" s="85" t="inlineStr">
        <is>
          <t>B05</t>
        </is>
      </c>
      <c r="C19" s="85" t="inlineStr">
        <is>
          <t>T01_TER3</t>
        </is>
      </c>
      <c r="D19" s="85" t="inlineStr">
        <is>
          <t>U3</t>
        </is>
      </c>
      <c r="E19" s="85" t="inlineStr">
        <is>
          <t>end</t>
        </is>
      </c>
      <c r="F19" s="85" t="inlineStr">
        <is>
          <t>brick</t>
        </is>
      </c>
      <c r="G19" s="126" t="n">
        <v>117.28</v>
      </c>
      <c r="H19" s="126" t="n">
        <v>254.89</v>
      </c>
      <c r="I19" s="126" t="n">
        <v>97.72</v>
      </c>
      <c r="J19" s="126" t="n">
        <v>8</v>
      </c>
      <c r="K19" s="126" t="n">
        <v>86.25</v>
      </c>
      <c r="L19" s="126" t="n">
        <v>72.63</v>
      </c>
    </row>
    <row r="20">
      <c r="A20" s="85" t="inlineStr">
        <is>
          <t>14</t>
        </is>
      </c>
      <c r="B20" s="85" t="inlineStr">
        <is>
          <t>B06</t>
        </is>
      </c>
      <c r="C20" s="85" t="inlineStr">
        <is>
          <t>T02_BUNG</t>
        </is>
      </c>
      <c r="D20" s="85" t="inlineStr">
        <is>
          <t>U1</t>
        </is>
      </c>
      <c r="E20" s="85" t="inlineStr">
        <is>
          <t>detached</t>
        </is>
      </c>
      <c r="F20" s="85" t="inlineStr">
        <is>
          <t>brick</t>
        </is>
      </c>
      <c r="G20" s="126" t="n">
        <v>74.81999999999999</v>
      </c>
      <c r="H20" s="126" t="n">
        <v>163.39</v>
      </c>
      <c r="I20" s="126" t="n">
        <v>71.13</v>
      </c>
      <c r="J20" s="126" t="n">
        <v>6</v>
      </c>
      <c r="K20" s="126" t="n">
        <v>63.7</v>
      </c>
      <c r="L20" s="126" t="n">
        <v>60.88</v>
      </c>
    </row>
    <row r="21">
      <c r="A21" s="85" t="inlineStr">
        <is>
          <t>15</t>
        </is>
      </c>
      <c r="B21" s="85" t="inlineStr">
        <is>
          <t>B07</t>
        </is>
      </c>
      <c r="C21" s="85" t="inlineStr">
        <is>
          <t>T02_BUNG</t>
        </is>
      </c>
      <c r="D21" s="85" t="inlineStr">
        <is>
          <t>U1</t>
        </is>
      </c>
      <c r="E21" s="85" t="inlineStr">
        <is>
          <t>detached</t>
        </is>
      </c>
      <c r="F21" s="85" t="inlineStr">
        <is>
          <t>brick</t>
        </is>
      </c>
      <c r="G21" s="126" t="n">
        <v>74.81999999999999</v>
      </c>
      <c r="H21" s="126" t="n">
        <v>163.39</v>
      </c>
      <c r="I21" s="126" t="n">
        <v>71.13</v>
      </c>
      <c r="J21" s="126" t="n">
        <v>6</v>
      </c>
      <c r="K21" s="126" t="n">
        <v>63.7</v>
      </c>
      <c r="L21" s="126" t="n">
        <v>60.88</v>
      </c>
    </row>
    <row r="22">
      <c r="A22" s="85" t="inlineStr">
        <is>
          <t>16</t>
        </is>
      </c>
      <c r="B22" s="85" t="inlineStr">
        <is>
          <t>B08</t>
        </is>
      </c>
      <c r="C22" s="85" t="inlineStr">
        <is>
          <t>T01_TER3</t>
        </is>
      </c>
      <c r="D22" s="85" t="inlineStr">
        <is>
          <t>U3</t>
        </is>
      </c>
      <c r="E22" s="85" t="inlineStr">
        <is>
          <t>end</t>
        </is>
      </c>
      <c r="F22" s="85" t="inlineStr">
        <is>
          <t>stone</t>
        </is>
      </c>
      <c r="G22" s="126" t="n">
        <v>117.28</v>
      </c>
      <c r="H22" s="126" t="n">
        <v>254.89</v>
      </c>
      <c r="I22" s="126" t="n">
        <v>97.72</v>
      </c>
      <c r="J22" s="126" t="n">
        <v>8</v>
      </c>
      <c r="K22" s="126" t="n">
        <v>86.25</v>
      </c>
      <c r="L22" s="126" t="n">
        <v>72.63</v>
      </c>
    </row>
    <row r="23">
      <c r="A23" s="85" t="inlineStr">
        <is>
          <t>17</t>
        </is>
      </c>
      <c r="B23" s="85" t="inlineStr">
        <is>
          <t>B08</t>
        </is>
      </c>
      <c r="C23" s="85" t="inlineStr">
        <is>
          <t>T01_TER3</t>
        </is>
      </c>
      <c r="D23" s="85" t="inlineStr">
        <is>
          <t>U2</t>
        </is>
      </c>
      <c r="E23" s="85" t="inlineStr">
        <is>
          <t>mid</t>
        </is>
      </c>
      <c r="F23" s="85" t="inlineStr">
        <is>
          <t>stone</t>
        </is>
      </c>
      <c r="G23" s="126" t="n">
        <v>46.06</v>
      </c>
      <c r="H23" s="126" t="n">
        <v>255.41</v>
      </c>
      <c r="I23" s="126" t="n">
        <v>97.95</v>
      </c>
      <c r="J23" s="126" t="n">
        <v>8</v>
      </c>
      <c r="K23" s="126" t="n">
        <v>86.45</v>
      </c>
      <c r="L23" s="126" t="n">
        <v>72.79000000000001</v>
      </c>
    </row>
    <row r="24">
      <c r="A24" s="85" t="inlineStr">
        <is>
          <t>18</t>
        </is>
      </c>
      <c r="B24" s="85" t="inlineStr">
        <is>
          <t>B08</t>
        </is>
      </c>
      <c r="C24" s="85" t="inlineStr">
        <is>
          <t>T01_TER3</t>
        </is>
      </c>
      <c r="D24" s="85" t="inlineStr">
        <is>
          <t>U1</t>
        </is>
      </c>
      <c r="E24" s="85" t="inlineStr">
        <is>
          <t>end</t>
        </is>
      </c>
      <c r="F24" s="85" t="inlineStr">
        <is>
          <t>stone</t>
        </is>
      </c>
      <c r="G24" s="126" t="n">
        <v>117.28</v>
      </c>
      <c r="H24" s="126" t="n">
        <v>254.89</v>
      </c>
      <c r="I24" s="126" t="n">
        <v>97.72</v>
      </c>
      <c r="J24" s="126" t="n">
        <v>8</v>
      </c>
      <c r="K24" s="126" t="n">
        <v>86.25</v>
      </c>
      <c r="L24" s="126" t="n">
        <v>72.63</v>
      </c>
    </row>
    <row r="25">
      <c r="A25" s="125" t="inlineStr">
        <is>
          <t>Total</t>
        </is>
      </c>
      <c r="G25" s="127">
        <f>SUM(G7:G24)</f>
        <v/>
      </c>
      <c r="H25" s="127">
        <f>SUM(H7:H24)</f>
        <v/>
      </c>
      <c r="I25" s="127">
        <f>SUM(I7:I24)</f>
        <v/>
      </c>
      <c r="J25" s="127">
        <f>SUM(J7:J24)</f>
        <v/>
      </c>
      <c r="K25" s="127">
        <f>SUM(K7:K24)</f>
        <v/>
      </c>
      <c r="L25" s="127">
        <f>SUM(L7:L24)</f>
        <v/>
      </c>
    </row>
  </sheetData>
  <sheetProtection selectLockedCells="0" selectUnlockedCells="0" sheet="1" objects="0" insertRows="1" insertHyperlinks="1" autoFilter="1" scenarios="0" formatColumns="0" deleteColumns="1" insertColumns="1" pivotTables="1" deleteRows="1" formatCells="1" formatRows="0" sort="1"/>
  <mergeCells count="3">
    <mergeCell ref="C2:L2"/>
    <mergeCell ref="C1:L1"/>
    <mergeCell ref="A4:L4"/>
  </mergeCells>
  <printOptions horizontalCentered="1"/>
  <pageMargins left="0.75" right="0.75" top="0.7" bottom="0.75" header="0.5" footer="0.5"/>
  <pageSetup orientation="landscape" paperSize="9" fitToHeight="0" fitToWidth="1"/>
  <headerFooter>
    <oddHeader>&amp;L&amp;8 BuildEase  |  ES26-080 Land to Rear of 1-8 Wesley Terrace, Castleside  |  Wannop Developments Ltd&amp;R&amp;8 Bill of Quantities Package - Finishes &amp;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sheetPr>
    <outlinePr summaryBelow="1" summaryRight="1"/>
    <pageSetUpPr fitToPage="1"/>
  </sheetPr>
  <dimension ref="A1:G14"/>
  <sheetViews>
    <sheetView showGridLines="0" workbookViewId="0">
      <pane ySplit="6" topLeftCell="A7" activePane="bottomLeft" state="frozen"/>
      <selection pane="bottomLeft" activeCell="A1" sqref="A1"/>
    </sheetView>
  </sheetViews>
  <sheetFormatPr baseColWidth="8" defaultRowHeight="15"/>
  <cols>
    <col width="8" customWidth="1" min="1" max="1"/>
    <col width="11" customWidth="1" min="2" max="2"/>
    <col width="12" customWidth="1" min="3" max="3"/>
    <col width="12" customWidth="1" min="4" max="4"/>
    <col width="16" customWidth="1" min="5" max="5"/>
    <col width="16" customWidth="1" min="6" max="6"/>
    <col width="40" customWidth="1" min="7" max="7"/>
  </cols>
  <sheetData>
    <row r="1" ht="22" customHeight="1">
      <c r="C1" s="70" t="inlineStr">
        <is>
          <t>Schedule D - Sloping Plots: exposure at DPC (provisional)</t>
        </is>
      </c>
    </row>
    <row r="2" ht="18" customHeight="1">
      <c r="C2" s="71" t="inlineStr">
        <is>
          <t>Existing survey corner levels (10G); FFL = mean corner ground + 150. Not priced.</t>
        </is>
      </c>
    </row>
    <row r="3" ht="4" customHeight="1">
      <c r="A3" s="72" t="n"/>
      <c r="B3" s="72" t="n"/>
      <c r="C3" s="72" t="n"/>
      <c r="D3" s="72" t="n"/>
      <c r="E3" s="72" t="n"/>
      <c r="F3" s="72" t="n"/>
      <c r="G3" s="72" t="n"/>
    </row>
    <row r="4" ht="62"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quotation models and the SK11A drawings (DRAFT); no allowance for waste is included unless stated. Quantities are per block for each block type; the Site total multiplies by the number of blocks. Rates and amounts are by others.</t>
        </is>
      </c>
    </row>
    <row r="6" ht="30" customHeight="1">
      <c r="A6" s="78" t="inlineStr">
        <is>
          <t>Block</t>
        </is>
      </c>
      <c r="B6" s="78" t="inlineStr">
        <is>
          <t>Type</t>
        </is>
      </c>
      <c r="C6" s="78" t="inlineStr">
        <is>
          <t>FFL AOD</t>
        </is>
      </c>
      <c r="D6" s="78" t="inlineStr">
        <is>
          <t>Fall mm</t>
        </is>
      </c>
      <c r="E6" s="78" t="inlineStr">
        <is>
          <t>Exposed below DPC m2</t>
        </is>
      </c>
      <c r="F6" s="78" t="inlineStr">
        <is>
          <t>Ground above DPC m2</t>
        </is>
      </c>
      <c r="G6" s="78" t="inlineStr">
        <is>
          <t>Note</t>
        </is>
      </c>
    </row>
    <row r="7">
      <c r="A7" s="85" t="inlineStr">
        <is>
          <t>B01</t>
        </is>
      </c>
      <c r="B7" s="85" t="inlineStr">
        <is>
          <t>T01_SEMI</t>
        </is>
      </c>
      <c r="C7" s="85" t="n">
        <v>201.84</v>
      </c>
      <c r="D7" s="85" t="n">
        <v>1750</v>
      </c>
      <c r="E7" s="85" t="n">
        <v>9.720000000000001</v>
      </c>
      <c r="F7" s="85" t="n">
        <v>9.720000000000001</v>
      </c>
      <c r="G7" s="85" t="inlineStr">
        <is>
          <t>brick</t>
        </is>
      </c>
    </row>
    <row r="8">
      <c r="A8" s="85" t="inlineStr">
        <is>
          <t>B02</t>
        </is>
      </c>
      <c r="B8" s="85" t="inlineStr">
        <is>
          <t>T01_TER3</t>
        </is>
      </c>
      <c r="C8" s="85" t="n">
        <v>203.18</v>
      </c>
      <c r="D8" s="85" t="n">
        <v>1220</v>
      </c>
      <c r="E8" s="85" t="n">
        <v>8.880000000000001</v>
      </c>
      <c r="F8" s="85" t="n">
        <v>8.880000000000001</v>
      </c>
      <c r="G8" s="85" t="inlineStr">
        <is>
          <t>brick</t>
        </is>
      </c>
    </row>
    <row r="9">
      <c r="A9" s="85" t="inlineStr">
        <is>
          <t>B03</t>
        </is>
      </c>
      <c r="B9" s="85" t="inlineStr">
        <is>
          <t>T01_TER3</t>
        </is>
      </c>
      <c r="C9" s="85" t="n">
        <v>204.528</v>
      </c>
      <c r="D9" s="85" t="n">
        <v>2230</v>
      </c>
      <c r="E9" s="85" t="n">
        <v>15.09</v>
      </c>
      <c r="F9" s="85" t="n">
        <v>15.09</v>
      </c>
      <c r="G9" s="85" t="inlineStr">
        <is>
          <t>brick</t>
        </is>
      </c>
    </row>
    <row r="10">
      <c r="A10" s="85" t="inlineStr">
        <is>
          <t>B04</t>
        </is>
      </c>
      <c r="B10" s="85" t="inlineStr">
        <is>
          <t>T01_SEMI</t>
        </is>
      </c>
      <c r="C10" s="85" t="n">
        <v>206.69</v>
      </c>
      <c r="D10" s="85" t="n">
        <v>370</v>
      </c>
      <c r="E10" s="85" t="n">
        <v>2.68</v>
      </c>
      <c r="F10" s="85" t="n">
        <v>2.68</v>
      </c>
      <c r="G10" s="85" t="inlineStr">
        <is>
          <t>brick</t>
        </is>
      </c>
    </row>
    <row r="11">
      <c r="A11" s="85" t="inlineStr">
        <is>
          <t>B05</t>
        </is>
      </c>
      <c r="B11" s="85" t="inlineStr">
        <is>
          <t>T01_TER3</t>
        </is>
      </c>
      <c r="C11" s="85" t="n">
        <v>204.445</v>
      </c>
      <c r="D11" s="85" t="n">
        <v>2250</v>
      </c>
      <c r="E11" s="85" t="n">
        <v>16.41</v>
      </c>
      <c r="F11" s="85" t="n">
        <v>16.41</v>
      </c>
      <c r="G11" s="85" t="inlineStr">
        <is>
          <t>brick</t>
        </is>
      </c>
    </row>
    <row r="12">
      <c r="A12" s="85" t="inlineStr">
        <is>
          <t>B06</t>
        </is>
      </c>
      <c r="B12" s="85" t="inlineStr">
        <is>
          <t>T02_BUNG</t>
        </is>
      </c>
      <c r="C12" s="85" t="n">
        <v>201.86</v>
      </c>
      <c r="D12" s="85" t="n">
        <v>1120</v>
      </c>
      <c r="E12" s="85" t="n">
        <v>6.14</v>
      </c>
      <c r="F12" s="85" t="n">
        <v>6.14</v>
      </c>
      <c r="G12" s="85" t="inlineStr">
        <is>
          <t>brick</t>
        </is>
      </c>
    </row>
    <row r="13">
      <c r="A13" s="85" t="inlineStr">
        <is>
          <t>B07</t>
        </is>
      </c>
      <c r="B13" s="85" t="inlineStr">
        <is>
          <t>T02_BUNG</t>
        </is>
      </c>
      <c r="C13" s="85" t="n">
        <v>200.028</v>
      </c>
      <c r="D13" s="85" t="n">
        <v>1620</v>
      </c>
      <c r="E13" s="85" t="n">
        <v>9.48</v>
      </c>
      <c r="F13" s="85" t="n">
        <v>9.48</v>
      </c>
      <c r="G13" s="85" t="inlineStr">
        <is>
          <t>brick</t>
        </is>
      </c>
    </row>
    <row r="14">
      <c r="A14" s="85" t="inlineStr">
        <is>
          <t>B08</t>
        </is>
      </c>
      <c r="B14" s="85" t="inlineStr">
        <is>
          <t>T01_TER3</t>
        </is>
      </c>
      <c r="C14" s="85" t="n">
        <v>198.053</v>
      </c>
      <c r="D14" s="85" t="n">
        <v>2080</v>
      </c>
      <c r="E14" s="85" t="n">
        <v>14.91</v>
      </c>
      <c r="F14" s="85" t="n">
        <v>14.91</v>
      </c>
      <c r="G14" s="85" t="inlineStr">
        <is>
          <t>stone</t>
        </is>
      </c>
    </row>
  </sheetData>
  <sheetProtection selectLockedCells="0" selectUnlockedCells="0" sheet="1" objects="0" insertRows="1" insertHyperlinks="1" autoFilter="1" scenarios="0" formatColumns="0" deleteColumns="1" insertColumns="1" pivotTables="1" deleteRows="1" formatCells="1" formatRows="0" sort="1"/>
  <mergeCells count="3">
    <mergeCell ref="C2:G2"/>
    <mergeCell ref="C1:G1"/>
    <mergeCell ref="A4:G4"/>
  </mergeCells>
  <printOptions horizontalCentered="1"/>
  <pageMargins left="0.75" right="0.75" top="0.7" bottom="0.75" header="0.5" footer="0.5"/>
  <pageSetup orientation="portrait" paperSize="9" fitToHeight="0" fitToWidth="1"/>
  <headerFooter>
    <oddHeader>&amp;L&amp;8 BuildEase  |  ES26-080 Land to Rear of 1-8 Wesley Terrace, Castleside  |  Wannop Developments Ltd&amp;R&amp;8 Bill of Quantities Package - Finishes &amp; Ancillary Trades - Issue 01</oddHeader>
    <oddFooter>&amp;L&amp;7 &amp;KC98A1BSupplied in good faith for guidance only. NOT part of the Nudura ICF price. Check and verify with the appropriate professional before use. No waste unless stated.&amp;R&amp;8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2026-10-19T16:27:54Z</dcterms:created>
  <dcterms:modified xmlns:dcterms="http://purl.org/dc/terms/" xmlns:xsi="http://www.w3.org/2001/XMLSchema-instance" xsi:type="dcterms:W3CDTF">2026-10-19T16:27:55Z</dcterms:modified>
</cp:coreProperties>
</file>